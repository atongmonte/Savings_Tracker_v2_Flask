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ontefioreorg-my.sharepoint.com/personal/kliebmann_montefiore_org/Documents/Documents/Current Projects/Supplemental Staffing/Savings/Winston/Rebates/"/>
    </mc:Choice>
  </mc:AlternateContent>
  <xr:revisionPtr revIDLastSave="2" documentId="8_{D7D9502C-24F8-4189-A358-CE846731F990}" xr6:coauthVersionLast="47" xr6:coauthVersionMax="47" xr10:uidLastSave="{D2B86F16-3F7B-4B93-909A-A94E906C439B}"/>
  <bookViews>
    <workbookView xWindow="28680" yWindow="-120" windowWidth="29040" windowHeight="17520" xr2:uid="{2F1BEF1D-6E82-4868-8799-394D78C77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1" l="1"/>
  <c r="G91" i="1"/>
  <c r="G80" i="1"/>
  <c r="G79" i="1"/>
  <c r="E98" i="1"/>
  <c r="E86" i="1"/>
  <c r="E62" i="1"/>
  <c r="E74" i="1"/>
  <c r="E48" i="1"/>
  <c r="E36" i="1"/>
  <c r="E24" i="1"/>
  <c r="E12" i="1"/>
  <c r="E100" i="1" l="1"/>
</calcChain>
</file>

<file path=xl/sharedStrings.xml><?xml version="1.0" encoding="utf-8"?>
<sst xmlns="http://schemas.openxmlformats.org/spreadsheetml/2006/main" count="139" uniqueCount="33">
  <si>
    <t>Invoice Date</t>
  </si>
  <si>
    <t>Invoice No.</t>
  </si>
  <si>
    <t>Cash Dates</t>
  </si>
  <si>
    <t>5 % Discount</t>
  </si>
  <si>
    <t>PROMPT PAY DISCOUNT</t>
  </si>
  <si>
    <t>1/1/24 - 3/31/24</t>
  </si>
  <si>
    <t>MONTEFIORE MEDICAL CENTER</t>
  </si>
  <si>
    <t>MONTEFIORE NEW ROCHELLE</t>
  </si>
  <si>
    <t>MONTEFIORE MOUNT VERNON</t>
  </si>
  <si>
    <t>Billing Dates</t>
  </si>
  <si>
    <t>.8 % Discount</t>
  </si>
  <si>
    <t>HOURS WORKED PERCENTAGE REDUCTION</t>
  </si>
  <si>
    <t>1/7/24 - 3/31/24</t>
  </si>
  <si>
    <t>TOTAL</t>
  </si>
  <si>
    <t>4/1/24 - 6/30/24</t>
  </si>
  <si>
    <t>4/7/24 - 6/30/24</t>
  </si>
  <si>
    <t>7/1/24 - 9/30/24</t>
  </si>
  <si>
    <t>7/7/24 - 9/29/24</t>
  </si>
  <si>
    <t>10/1/24 - 12/31/24</t>
  </si>
  <si>
    <t>10/6/24 - 12/29/24</t>
  </si>
  <si>
    <t>Grand Total</t>
  </si>
  <si>
    <t>4/1/25 - 6/30/25</t>
  </si>
  <si>
    <t>4/6/25 - 6/29/25</t>
  </si>
  <si>
    <t>1/1/25 - 3/31/25</t>
  </si>
  <si>
    <t>1/5/25 - 3/30/25</t>
  </si>
  <si>
    <t>SCHAFFER EXTENDED CARE CENTER</t>
  </si>
  <si>
    <t>7/1/25 - 9/30/25</t>
  </si>
  <si>
    <t>7/6/25 - 9/28/25</t>
  </si>
  <si>
    <t>ACH DATE 12/18/25</t>
  </si>
  <si>
    <t>ACH DATE 01/28/26</t>
  </si>
  <si>
    <t>10/1/25 - 12/31/25</t>
  </si>
  <si>
    <t>10/5/25 - 12/28/25</t>
  </si>
  <si>
    <t>ACH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</si>
</sst>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2" fillId="0" borderId="1" xfId="1" applyBorder="1"/>
    <xf numFmtId="164" fontId="4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Continuous"/>
    </xf>
    <xf numFmtId="0" fontId="2" fillId="0" borderId="1" xfId="1" applyBorder="1" applyAlignment="1">
      <alignment horizontal="centerContinuous"/>
    </xf>
    <xf numFmtId="39" fontId="2" fillId="0" borderId="1" xfId="1" applyNumberFormat="1" applyBorder="1"/>
    <xf numFmtId="164" fontId="2" fillId="0" borderId="1" xfId="1" applyNumberFormat="1" applyBorder="1" applyAlignment="1">
      <alignment horizontal="center"/>
    </xf>
    <xf numFmtId="43" fontId="6" fillId="0" borderId="1" xfId="0" applyNumberFormat="1" applyFont="1" applyBorder="1" applyAlignment="1">
      <alignment horizontal="right" vertical="center"/>
    </xf>
    <xf numFmtId="39" fontId="6" fillId="0" borderId="1" xfId="0" applyNumberFormat="1" applyFont="1" applyBorder="1" applyAlignment="1">
      <alignment horizontal="right" vertical="center"/>
    </xf>
    <xf numFmtId="43" fontId="2" fillId="0" borderId="1" xfId="1" applyNumberFormat="1" applyBorder="1"/>
    <xf numFmtId="0" fontId="2" fillId="0" borderId="0" xfId="1" applyAlignment="1">
      <alignment horizontal="centerContinuous"/>
    </xf>
    <xf numFmtId="43" fontId="2" fillId="0" borderId="0" xfId="1" applyNumberFormat="1"/>
    <xf numFmtId="0" fontId="2" fillId="0" borderId="0" xfId="1"/>
    <xf numFmtId="164" fontId="2" fillId="0" borderId="0" xfId="1" applyNumberFormat="1" applyAlignment="1">
      <alignment horizontal="center"/>
    </xf>
    <xf numFmtId="0" fontId="1" fillId="0" borderId="0" xfId="0" applyFont="1"/>
    <xf numFmtId="0" fontId="2" fillId="2" borderId="1" xfId="1" applyFill="1" applyBorder="1" applyAlignment="1">
      <alignment horizontal="center"/>
    </xf>
    <xf numFmtId="0" fontId="0" fillId="2" borderId="1" xfId="0" applyFill="1" applyBorder="1"/>
    <xf numFmtId="164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Continuous"/>
    </xf>
    <xf numFmtId="43" fontId="3" fillId="2" borderId="1" xfId="1" applyNumberFormat="1" applyFont="1" applyFill="1" applyBorder="1"/>
    <xf numFmtId="0" fontId="7" fillId="3" borderId="0" xfId="0" applyFont="1" applyFill="1"/>
    <xf numFmtId="43" fontId="7" fillId="3" borderId="0" xfId="0" applyNumberFormat="1" applyFont="1" applyFill="1"/>
    <xf numFmtId="39" fontId="6" fillId="0" borderId="0" xfId="0" applyNumberFormat="1" applyFont="1" applyAlignment="1">
      <alignment horizontal="right" vertical="center"/>
    </xf>
    <xf numFmtId="164" fontId="2" fillId="0" borderId="2" xfId="1" applyNumberFormat="1" applyBorder="1" applyAlignment="1">
      <alignment horizontal="center"/>
    </xf>
    <xf numFmtId="0" fontId="3" fillId="0" borderId="0" xfId="1" applyFont="1"/>
    <xf numFmtId="164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Continuous"/>
    </xf>
    <xf numFmtId="43" fontId="3" fillId="0" borderId="0" xfId="1" applyNumberFormat="1" applyFont="1"/>
    <xf numFmtId="0" fontId="1" fillId="2" borderId="1" xfId="0" applyFont="1" applyFill="1" applyBorder="1"/>
    <xf numFmtId="43" fontId="0" fillId="0" borderId="0" xfId="0" applyNumberFormat="1"/>
  </cellXfs>
  <cellStyles count="2">
    <cellStyle name="Normal" xfId="0" builtinId="0"/>
    <cellStyle name="Normal_Cover Page" xfId="1" xr:uid="{A1B6AE0C-7429-4D53-99B8-E98419F397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B94F-1BAA-4B18-990F-07E737051628}">
  <sheetPr>
    <pageSetUpPr fitToPage="1"/>
  </sheetPr>
  <dimension ref="A2:G100"/>
  <sheetViews>
    <sheetView tabSelected="1" topLeftCell="A73" zoomScaleNormal="100" workbookViewId="0">
      <selection activeCell="C102" sqref="C102"/>
    </sheetView>
  </sheetViews>
  <sheetFormatPr defaultColWidth="9" defaultRowHeight="15" x14ac:dyDescent="0.25"/>
  <cols>
    <col min="1" max="1" width="40.5703125" bestFit="1" customWidth="1"/>
    <col min="2" max="2" width="16.140625" bestFit="1" customWidth="1"/>
    <col min="3" max="3" width="38.28515625" bestFit="1" customWidth="1"/>
    <col min="5" max="5" width="18" bestFit="1" customWidth="1"/>
    <col min="7" max="7" width="11.28515625" bestFit="1" customWidth="1"/>
  </cols>
  <sheetData>
    <row r="2" spans="1:5" x14ac:dyDescent="0.25">
      <c r="A2" s="15" t="s">
        <v>0</v>
      </c>
      <c r="B2" s="15" t="s">
        <v>1</v>
      </c>
      <c r="C2" s="16"/>
      <c r="D2" s="16"/>
      <c r="E2" s="16"/>
    </row>
    <row r="3" spans="1:5" x14ac:dyDescent="0.25">
      <c r="A3" s="17">
        <v>45396</v>
      </c>
      <c r="B3" s="18">
        <v>20240414</v>
      </c>
      <c r="C3" s="16"/>
      <c r="D3" s="16"/>
      <c r="E3" s="16"/>
    </row>
    <row r="4" spans="1:5" x14ac:dyDescent="0.25">
      <c r="A4" s="1"/>
      <c r="B4" s="2" t="s">
        <v>2</v>
      </c>
      <c r="C4" s="3" t="s">
        <v>3</v>
      </c>
      <c r="D4" s="4"/>
      <c r="E4" s="5"/>
    </row>
    <row r="5" spans="1:5" x14ac:dyDescent="0.25">
      <c r="A5" s="1" t="s">
        <v>4</v>
      </c>
      <c r="B5" s="6" t="s">
        <v>5</v>
      </c>
      <c r="C5" s="1" t="s">
        <v>6</v>
      </c>
      <c r="D5" s="4"/>
      <c r="E5" s="7">
        <v>-21346.59</v>
      </c>
    </row>
    <row r="6" spans="1:5" x14ac:dyDescent="0.25">
      <c r="A6" s="1"/>
      <c r="B6" s="6"/>
      <c r="C6" s="1" t="s">
        <v>7</v>
      </c>
      <c r="D6" s="4"/>
      <c r="E6" s="7">
        <v>-1426.29</v>
      </c>
    </row>
    <row r="7" spans="1:5" x14ac:dyDescent="0.25">
      <c r="A7" s="1"/>
      <c r="B7" s="6"/>
      <c r="C7" s="1" t="s">
        <v>8</v>
      </c>
      <c r="D7" s="4"/>
      <c r="E7" s="7">
        <v>-601.9</v>
      </c>
    </row>
    <row r="8" spans="1:5" x14ac:dyDescent="0.25">
      <c r="A8" s="1"/>
      <c r="B8" s="2" t="s">
        <v>9</v>
      </c>
      <c r="C8" s="3" t="s">
        <v>10</v>
      </c>
      <c r="D8" s="4"/>
      <c r="E8" s="5"/>
    </row>
    <row r="9" spans="1:5" x14ac:dyDescent="0.25">
      <c r="A9" s="1" t="s">
        <v>11</v>
      </c>
      <c r="B9" s="6" t="s">
        <v>12</v>
      </c>
      <c r="C9" s="1" t="s">
        <v>6</v>
      </c>
      <c r="D9" s="4"/>
      <c r="E9" s="8">
        <v>-4084.81</v>
      </c>
    </row>
    <row r="10" spans="1:5" x14ac:dyDescent="0.25">
      <c r="A10" s="1"/>
      <c r="B10" s="6"/>
      <c r="C10" s="1" t="s">
        <v>7</v>
      </c>
      <c r="D10" s="4"/>
      <c r="E10" s="8">
        <v>-643.74</v>
      </c>
    </row>
    <row r="11" spans="1:5" x14ac:dyDescent="0.25">
      <c r="A11" s="1"/>
      <c r="B11" s="6"/>
      <c r="C11" s="1" t="s">
        <v>8</v>
      </c>
      <c r="D11" s="4"/>
      <c r="E11" s="9">
        <v>-1.44</v>
      </c>
    </row>
    <row r="12" spans="1:5" x14ac:dyDescent="0.25">
      <c r="A12" s="19" t="s">
        <v>13</v>
      </c>
      <c r="B12" s="17"/>
      <c r="C12" s="19"/>
      <c r="D12" s="20"/>
      <c r="E12" s="21">
        <f>SUM(E5:E11)</f>
        <v>-28104.770000000004</v>
      </c>
    </row>
    <row r="14" spans="1:5" x14ac:dyDescent="0.25">
      <c r="A14" s="15" t="s">
        <v>0</v>
      </c>
      <c r="B14" s="15" t="s">
        <v>1</v>
      </c>
      <c r="C14" s="16"/>
      <c r="D14" s="16"/>
      <c r="E14" s="16"/>
    </row>
    <row r="15" spans="1:5" x14ac:dyDescent="0.25">
      <c r="A15" s="17">
        <v>45487</v>
      </c>
      <c r="B15" s="18">
        <v>20240714</v>
      </c>
      <c r="C15" s="16"/>
      <c r="D15" s="16"/>
      <c r="E15" s="16"/>
    </row>
    <row r="16" spans="1:5" x14ac:dyDescent="0.25">
      <c r="A16" s="1"/>
      <c r="B16" s="2" t="s">
        <v>2</v>
      </c>
      <c r="C16" s="3" t="s">
        <v>3</v>
      </c>
      <c r="D16" s="4"/>
      <c r="E16" s="5"/>
    </row>
    <row r="17" spans="1:6" x14ac:dyDescent="0.25">
      <c r="A17" s="1" t="s">
        <v>4</v>
      </c>
      <c r="B17" s="6" t="s">
        <v>14</v>
      </c>
      <c r="C17" s="1" t="s">
        <v>6</v>
      </c>
      <c r="D17" s="4"/>
      <c r="E17" s="7">
        <v>-44345.81</v>
      </c>
    </row>
    <row r="18" spans="1:6" x14ac:dyDescent="0.25">
      <c r="A18" s="1"/>
      <c r="B18" s="6"/>
      <c r="C18" s="1" t="s">
        <v>7</v>
      </c>
      <c r="D18" s="4"/>
      <c r="E18" s="7">
        <v>-5363.84</v>
      </c>
    </row>
    <row r="19" spans="1:6" x14ac:dyDescent="0.25">
      <c r="A19" s="1"/>
      <c r="B19" s="6"/>
      <c r="C19" s="1" t="s">
        <v>8</v>
      </c>
      <c r="D19" s="4"/>
      <c r="E19" s="7">
        <v>-160.80000000000001</v>
      </c>
    </row>
    <row r="20" spans="1:6" x14ac:dyDescent="0.25">
      <c r="A20" s="1"/>
      <c r="B20" s="2" t="s">
        <v>9</v>
      </c>
      <c r="C20" s="3" t="s">
        <v>10</v>
      </c>
      <c r="D20" s="4"/>
      <c r="E20" s="5"/>
    </row>
    <row r="21" spans="1:6" x14ac:dyDescent="0.25">
      <c r="A21" s="1" t="s">
        <v>11</v>
      </c>
      <c r="B21" s="6" t="s">
        <v>15</v>
      </c>
      <c r="C21" s="1" t="s">
        <v>6</v>
      </c>
      <c r="D21" s="4"/>
      <c r="E21" s="8">
        <v>-2882.64</v>
      </c>
    </row>
    <row r="22" spans="1:6" x14ac:dyDescent="0.25">
      <c r="A22" s="1"/>
      <c r="B22" s="6"/>
      <c r="C22" s="1" t="s">
        <v>7</v>
      </c>
      <c r="D22" s="4"/>
      <c r="E22" s="8">
        <v>-493.41</v>
      </c>
    </row>
    <row r="23" spans="1:6" x14ac:dyDescent="0.25">
      <c r="A23" s="1"/>
      <c r="B23" s="6"/>
      <c r="C23" s="1" t="s">
        <v>8</v>
      </c>
      <c r="D23" s="4"/>
      <c r="E23" s="9">
        <v>0</v>
      </c>
    </row>
    <row r="24" spans="1:6" x14ac:dyDescent="0.25">
      <c r="A24" s="19" t="s">
        <v>13</v>
      </c>
      <c r="B24" s="17"/>
      <c r="C24" s="19"/>
      <c r="D24" s="20"/>
      <c r="E24" s="21">
        <f>SUM(E17:E23)</f>
        <v>-53246.5</v>
      </c>
      <c r="F24" s="14"/>
    </row>
    <row r="26" spans="1:6" x14ac:dyDescent="0.25">
      <c r="A26" s="15" t="s">
        <v>0</v>
      </c>
      <c r="B26" s="15" t="s">
        <v>1</v>
      </c>
      <c r="C26" s="16"/>
      <c r="D26" s="16"/>
      <c r="E26" s="16"/>
    </row>
    <row r="27" spans="1:6" x14ac:dyDescent="0.25">
      <c r="A27" s="17">
        <v>45571</v>
      </c>
      <c r="B27" s="18">
        <v>20241006</v>
      </c>
      <c r="C27" s="16"/>
      <c r="D27" s="16"/>
      <c r="E27" s="16"/>
    </row>
    <row r="28" spans="1:6" x14ac:dyDescent="0.25">
      <c r="A28" s="1"/>
      <c r="B28" s="2" t="s">
        <v>2</v>
      </c>
      <c r="C28" s="3" t="s">
        <v>3</v>
      </c>
      <c r="D28" s="4"/>
      <c r="E28" s="5"/>
    </row>
    <row r="29" spans="1:6" x14ac:dyDescent="0.25">
      <c r="A29" s="1" t="s">
        <v>4</v>
      </c>
      <c r="B29" s="6" t="s">
        <v>16</v>
      </c>
      <c r="C29" s="1" t="s">
        <v>6</v>
      </c>
      <c r="D29" s="4"/>
      <c r="E29" s="7">
        <v>-46803.8</v>
      </c>
    </row>
    <row r="30" spans="1:6" x14ac:dyDescent="0.25">
      <c r="A30" s="1"/>
      <c r="B30" s="6"/>
      <c r="C30" s="1" t="s">
        <v>7</v>
      </c>
      <c r="D30" s="4"/>
      <c r="E30" s="7">
        <v>-4228.1899999999996</v>
      </c>
    </row>
    <row r="31" spans="1:6" x14ac:dyDescent="0.25">
      <c r="A31" s="1"/>
      <c r="B31" s="6"/>
      <c r="C31" s="1" t="s">
        <v>8</v>
      </c>
      <c r="D31" s="4"/>
      <c r="E31" s="7">
        <v>0</v>
      </c>
    </row>
    <row r="32" spans="1:6" x14ac:dyDescent="0.25">
      <c r="A32" s="1"/>
      <c r="B32" s="2" t="s">
        <v>9</v>
      </c>
      <c r="C32" s="3" t="s">
        <v>10</v>
      </c>
      <c r="D32" s="4"/>
      <c r="E32" s="5"/>
    </row>
    <row r="33" spans="1:5" x14ac:dyDescent="0.25">
      <c r="A33" s="1" t="s">
        <v>11</v>
      </c>
      <c r="B33" s="6" t="s">
        <v>17</v>
      </c>
      <c r="C33" s="1" t="s">
        <v>6</v>
      </c>
      <c r="D33" s="4"/>
      <c r="E33" s="8">
        <v>-2059.9</v>
      </c>
    </row>
    <row r="34" spans="1:5" x14ac:dyDescent="0.25">
      <c r="A34" s="1"/>
      <c r="B34" s="6"/>
      <c r="C34" s="1" t="s">
        <v>7</v>
      </c>
      <c r="D34" s="4"/>
      <c r="E34" s="8">
        <v>-562.11</v>
      </c>
    </row>
    <row r="35" spans="1:5" x14ac:dyDescent="0.25">
      <c r="A35" s="1"/>
      <c r="B35" s="6"/>
      <c r="C35" s="1" t="s">
        <v>8</v>
      </c>
      <c r="D35" s="4"/>
      <c r="E35" s="9">
        <v>0</v>
      </c>
    </row>
    <row r="36" spans="1:5" x14ac:dyDescent="0.25">
      <c r="A36" s="19" t="s">
        <v>13</v>
      </c>
      <c r="B36" s="17"/>
      <c r="C36" s="19"/>
      <c r="D36" s="20"/>
      <c r="E36" s="21">
        <f>SUM(E29:E35)</f>
        <v>-53654.000000000007</v>
      </c>
    </row>
    <row r="37" spans="1:5" x14ac:dyDescent="0.25">
      <c r="A37" s="12"/>
      <c r="B37" s="13"/>
      <c r="C37" s="12"/>
      <c r="D37" s="10"/>
      <c r="E37" s="11"/>
    </row>
    <row r="38" spans="1:5" x14ac:dyDescent="0.25">
      <c r="A38" s="15" t="s">
        <v>0</v>
      </c>
      <c r="B38" s="15" t="s">
        <v>1</v>
      </c>
      <c r="C38" s="16"/>
      <c r="D38" s="16"/>
      <c r="E38" s="16"/>
    </row>
    <row r="39" spans="1:5" x14ac:dyDescent="0.25">
      <c r="A39" s="17">
        <v>45669</v>
      </c>
      <c r="B39" s="18">
        <v>20250112</v>
      </c>
      <c r="C39" s="16"/>
      <c r="D39" s="16"/>
      <c r="E39" s="16"/>
    </row>
    <row r="40" spans="1:5" x14ac:dyDescent="0.25">
      <c r="A40" s="1"/>
      <c r="B40" s="2" t="s">
        <v>2</v>
      </c>
      <c r="C40" s="3" t="s">
        <v>3</v>
      </c>
      <c r="D40" s="4"/>
      <c r="E40" s="5"/>
    </row>
    <row r="41" spans="1:5" x14ac:dyDescent="0.25">
      <c r="A41" s="1" t="s">
        <v>4</v>
      </c>
      <c r="B41" s="6" t="s">
        <v>18</v>
      </c>
      <c r="C41" s="1" t="s">
        <v>6</v>
      </c>
      <c r="D41" s="4"/>
      <c r="E41" s="7">
        <v>-38089.64</v>
      </c>
    </row>
    <row r="42" spans="1:5" x14ac:dyDescent="0.25">
      <c r="A42" s="1"/>
      <c r="B42" s="6"/>
      <c r="C42" s="1" t="s">
        <v>7</v>
      </c>
      <c r="D42" s="4"/>
      <c r="E42" s="7">
        <v>-3710.4</v>
      </c>
    </row>
    <row r="43" spans="1:5" x14ac:dyDescent="0.25">
      <c r="A43" s="1"/>
      <c r="B43" s="6"/>
      <c r="C43" s="1" t="s">
        <v>8</v>
      </c>
      <c r="D43" s="4"/>
      <c r="E43" s="7">
        <v>-1458.8</v>
      </c>
    </row>
    <row r="44" spans="1:5" x14ac:dyDescent="0.25">
      <c r="A44" s="1"/>
      <c r="B44" s="2" t="s">
        <v>9</v>
      </c>
      <c r="C44" s="3" t="s">
        <v>10</v>
      </c>
      <c r="D44" s="4"/>
      <c r="E44" s="5"/>
    </row>
    <row r="45" spans="1:5" x14ac:dyDescent="0.25">
      <c r="A45" s="1" t="s">
        <v>11</v>
      </c>
      <c r="B45" s="6" t="s">
        <v>19</v>
      </c>
      <c r="C45" s="1" t="s">
        <v>6</v>
      </c>
      <c r="D45" s="4"/>
      <c r="E45" s="8">
        <v>-2482.29</v>
      </c>
    </row>
    <row r="46" spans="1:5" x14ac:dyDescent="0.25">
      <c r="A46" s="1"/>
      <c r="B46" s="6"/>
      <c r="C46" s="1" t="s">
        <v>7</v>
      </c>
      <c r="D46" s="4"/>
      <c r="E46" s="8">
        <v>-405.41</v>
      </c>
    </row>
    <row r="47" spans="1:5" x14ac:dyDescent="0.25">
      <c r="A47" s="1"/>
      <c r="B47" s="6"/>
      <c r="C47" s="1" t="s">
        <v>8</v>
      </c>
      <c r="D47" s="4"/>
      <c r="E47" s="9">
        <v>0</v>
      </c>
    </row>
    <row r="48" spans="1:5" x14ac:dyDescent="0.25">
      <c r="A48" s="19" t="s">
        <v>13</v>
      </c>
      <c r="B48" s="17"/>
      <c r="C48" s="19"/>
      <c r="D48" s="20"/>
      <c r="E48" s="21">
        <f>SUM(E41:E47)</f>
        <v>-46146.540000000008</v>
      </c>
    </row>
    <row r="50" spans="1:5" x14ac:dyDescent="0.25">
      <c r="A50" s="15" t="s">
        <v>0</v>
      </c>
      <c r="B50" s="15" t="s">
        <v>1</v>
      </c>
      <c r="C50" s="16"/>
      <c r="D50" s="16"/>
      <c r="E50" s="16"/>
    </row>
    <row r="51" spans="1:5" x14ac:dyDescent="0.25">
      <c r="A51" s="17">
        <v>45760</v>
      </c>
      <c r="B51" s="18">
        <v>20250413</v>
      </c>
      <c r="C51" s="16"/>
      <c r="D51" s="16"/>
      <c r="E51" s="16"/>
    </row>
    <row r="52" spans="1:5" x14ac:dyDescent="0.25">
      <c r="A52" s="1"/>
      <c r="B52" s="2" t="s">
        <v>2</v>
      </c>
      <c r="C52" s="3" t="s">
        <v>3</v>
      </c>
      <c r="D52" s="4"/>
      <c r="E52" s="5"/>
    </row>
    <row r="53" spans="1:5" x14ac:dyDescent="0.25">
      <c r="A53" s="1" t="s">
        <v>4</v>
      </c>
      <c r="B53" s="25" t="s">
        <v>23</v>
      </c>
      <c r="C53" s="1" t="s">
        <v>6</v>
      </c>
      <c r="D53" s="4"/>
      <c r="E53" s="7">
        <v>-37922.14</v>
      </c>
    </row>
    <row r="54" spans="1:5" x14ac:dyDescent="0.25">
      <c r="A54" s="1"/>
      <c r="B54" s="6"/>
      <c r="C54" s="1" t="s">
        <v>7</v>
      </c>
      <c r="D54" s="4"/>
      <c r="E54" s="7">
        <v>-4770.22</v>
      </c>
    </row>
    <row r="55" spans="1:5" x14ac:dyDescent="0.25">
      <c r="A55" s="1"/>
      <c r="B55" s="6"/>
      <c r="C55" s="1" t="s">
        <v>8</v>
      </c>
      <c r="D55" s="4"/>
      <c r="E55" s="9">
        <v>-1435.39</v>
      </c>
    </row>
    <row r="56" spans="1:5" x14ac:dyDescent="0.25">
      <c r="A56" s="1"/>
      <c r="B56" s="6"/>
      <c r="C56" s="12" t="s">
        <v>25</v>
      </c>
      <c r="D56" s="4"/>
      <c r="E56" s="9">
        <v>-642.79999999999995</v>
      </c>
    </row>
    <row r="57" spans="1:5" x14ac:dyDescent="0.25">
      <c r="A57" s="1"/>
      <c r="B57" s="2" t="s">
        <v>9</v>
      </c>
      <c r="C57" s="3" t="s">
        <v>10</v>
      </c>
      <c r="D57" s="4"/>
      <c r="E57" s="5"/>
    </row>
    <row r="58" spans="1:5" x14ac:dyDescent="0.25">
      <c r="A58" s="1" t="s">
        <v>11</v>
      </c>
      <c r="B58" s="25" t="s">
        <v>24</v>
      </c>
      <c r="C58" s="1" t="s">
        <v>6</v>
      </c>
      <c r="D58" s="4"/>
      <c r="E58" s="8">
        <v>-2141.0300000000002</v>
      </c>
    </row>
    <row r="59" spans="1:5" x14ac:dyDescent="0.25">
      <c r="A59" s="1"/>
      <c r="B59" s="6"/>
      <c r="C59" s="1" t="s">
        <v>7</v>
      </c>
      <c r="D59" s="4"/>
      <c r="E59" s="8">
        <v>-240.14</v>
      </c>
    </row>
    <row r="60" spans="1:5" x14ac:dyDescent="0.25">
      <c r="A60" s="1"/>
      <c r="B60" s="6"/>
      <c r="C60" s="1" t="s">
        <v>8</v>
      </c>
      <c r="D60" s="4"/>
      <c r="E60" s="9">
        <v>0</v>
      </c>
    </row>
    <row r="61" spans="1:5" x14ac:dyDescent="0.25">
      <c r="A61" s="1"/>
      <c r="B61" s="6"/>
      <c r="C61" s="12" t="s">
        <v>25</v>
      </c>
      <c r="D61" s="4"/>
      <c r="E61" s="9">
        <v>0</v>
      </c>
    </row>
    <row r="62" spans="1:5" x14ac:dyDescent="0.25">
      <c r="A62" s="19" t="s">
        <v>13</v>
      </c>
      <c r="B62" s="17"/>
      <c r="C62" s="19"/>
      <c r="D62" s="20"/>
      <c r="E62" s="21">
        <f>SUM(E53:E61)</f>
        <v>-47151.72</v>
      </c>
    </row>
    <row r="64" spans="1:5" x14ac:dyDescent="0.25">
      <c r="A64" s="15" t="s">
        <v>0</v>
      </c>
      <c r="B64" s="15" t="s">
        <v>1</v>
      </c>
      <c r="C64" s="16"/>
      <c r="D64" s="16"/>
      <c r="E64" s="16"/>
    </row>
    <row r="65" spans="1:7" x14ac:dyDescent="0.25">
      <c r="A65" s="17">
        <v>45851</v>
      </c>
      <c r="B65" s="18">
        <v>20250713</v>
      </c>
      <c r="C65" s="16"/>
      <c r="D65" s="16"/>
      <c r="E65" s="16"/>
    </row>
    <row r="66" spans="1:7" x14ac:dyDescent="0.25">
      <c r="A66" s="1"/>
      <c r="B66" s="2" t="s">
        <v>2</v>
      </c>
      <c r="C66" s="3" t="s">
        <v>3</v>
      </c>
      <c r="D66" s="4"/>
      <c r="E66" s="5"/>
    </row>
    <row r="67" spans="1:7" x14ac:dyDescent="0.25">
      <c r="A67" s="1" t="s">
        <v>4</v>
      </c>
      <c r="B67" s="6" t="s">
        <v>21</v>
      </c>
      <c r="C67" s="1" t="s">
        <v>6</v>
      </c>
      <c r="D67" s="4"/>
      <c r="E67" s="7">
        <v>-35136.33</v>
      </c>
    </row>
    <row r="68" spans="1:7" x14ac:dyDescent="0.25">
      <c r="A68" s="1"/>
      <c r="B68" s="6"/>
      <c r="C68" s="1" t="s">
        <v>7</v>
      </c>
      <c r="D68" s="4"/>
      <c r="E68" s="7">
        <v>-2934.56</v>
      </c>
    </row>
    <row r="69" spans="1:7" x14ac:dyDescent="0.25">
      <c r="A69" s="1"/>
      <c r="B69" s="6"/>
      <c r="C69" s="1" t="s">
        <v>8</v>
      </c>
      <c r="D69" s="4"/>
      <c r="E69" s="9">
        <v>0</v>
      </c>
    </row>
    <row r="70" spans="1:7" x14ac:dyDescent="0.25">
      <c r="A70" s="1"/>
      <c r="B70" s="2" t="s">
        <v>9</v>
      </c>
      <c r="C70" s="3" t="s">
        <v>10</v>
      </c>
      <c r="D70" s="4"/>
      <c r="E70" s="5"/>
    </row>
    <row r="71" spans="1:7" x14ac:dyDescent="0.25">
      <c r="A71" s="1" t="s">
        <v>11</v>
      </c>
      <c r="B71" s="6" t="s">
        <v>22</v>
      </c>
      <c r="C71" s="1" t="s">
        <v>6</v>
      </c>
      <c r="D71" s="4"/>
      <c r="E71" s="8">
        <v>-2230.9</v>
      </c>
    </row>
    <row r="72" spans="1:7" x14ac:dyDescent="0.25">
      <c r="A72" s="1"/>
      <c r="B72" s="6"/>
      <c r="C72" s="1" t="s">
        <v>7</v>
      </c>
      <c r="D72" s="4"/>
      <c r="E72" s="8">
        <v>-157.28</v>
      </c>
    </row>
    <row r="73" spans="1:7" x14ac:dyDescent="0.25">
      <c r="A73" s="1"/>
      <c r="B73" s="6"/>
      <c r="C73" s="1" t="s">
        <v>8</v>
      </c>
      <c r="D73" s="4"/>
      <c r="E73" s="9">
        <v>0</v>
      </c>
    </row>
    <row r="74" spans="1:7" x14ac:dyDescent="0.25">
      <c r="A74" s="19" t="s">
        <v>13</v>
      </c>
      <c r="B74" s="17"/>
      <c r="C74" s="19"/>
      <c r="D74" s="20"/>
      <c r="E74" s="21">
        <f>SUM(E67:E73)</f>
        <v>-40459.07</v>
      </c>
    </row>
    <row r="75" spans="1:7" x14ac:dyDescent="0.25">
      <c r="A75" s="26"/>
      <c r="B75" s="27"/>
      <c r="C75" s="26"/>
      <c r="D75" s="28"/>
      <c r="E75" s="29"/>
    </row>
    <row r="76" spans="1:7" x14ac:dyDescent="0.25">
      <c r="A76" s="15"/>
      <c r="B76" s="15" t="s">
        <v>32</v>
      </c>
      <c r="C76" s="16"/>
      <c r="D76" s="16"/>
      <c r="E76" s="16"/>
    </row>
    <row r="77" spans="1:7" x14ac:dyDescent="0.25">
      <c r="A77" s="17"/>
      <c r="B77" s="18">
        <v>101321</v>
      </c>
      <c r="C77" s="16"/>
      <c r="D77" s="16"/>
      <c r="E77" s="30" t="s">
        <v>28</v>
      </c>
    </row>
    <row r="78" spans="1:7" x14ac:dyDescent="0.25">
      <c r="A78" s="1"/>
      <c r="B78" s="2" t="s">
        <v>2</v>
      </c>
      <c r="C78" s="3" t="s">
        <v>3</v>
      </c>
      <c r="D78" s="4"/>
      <c r="E78" s="5"/>
    </row>
    <row r="79" spans="1:7" x14ac:dyDescent="0.25">
      <c r="A79" s="1" t="s">
        <v>4</v>
      </c>
      <c r="B79" s="6" t="s">
        <v>26</v>
      </c>
      <c r="C79" s="1" t="s">
        <v>6</v>
      </c>
      <c r="D79" s="4"/>
      <c r="E79" s="7">
        <v>-36678.400000000001</v>
      </c>
      <c r="G79" s="31">
        <f>E79+E83</f>
        <v>-38550.270000000004</v>
      </c>
    </row>
    <row r="80" spans="1:7" x14ac:dyDescent="0.25">
      <c r="A80" s="1"/>
      <c r="B80" s="6"/>
      <c r="C80" s="1" t="s">
        <v>7</v>
      </c>
      <c r="D80" s="4"/>
      <c r="E80" s="7">
        <v>-1978.64</v>
      </c>
      <c r="G80" s="31">
        <f>E80+E84</f>
        <v>-2273.92</v>
      </c>
    </row>
    <row r="81" spans="1:7" x14ac:dyDescent="0.25">
      <c r="A81" s="1"/>
      <c r="B81" s="6"/>
      <c r="C81" s="1" t="s">
        <v>8</v>
      </c>
      <c r="D81" s="4"/>
      <c r="E81" s="9">
        <v>0</v>
      </c>
      <c r="G81" s="31"/>
    </row>
    <row r="82" spans="1:7" x14ac:dyDescent="0.25">
      <c r="A82" s="1"/>
      <c r="B82" s="2" t="s">
        <v>9</v>
      </c>
      <c r="C82" s="3" t="s">
        <v>10</v>
      </c>
      <c r="D82" s="4"/>
      <c r="E82" s="5"/>
    </row>
    <row r="83" spans="1:7" x14ac:dyDescent="0.25">
      <c r="A83" s="1" t="s">
        <v>11</v>
      </c>
      <c r="B83" s="6" t="s">
        <v>27</v>
      </c>
      <c r="C83" s="1" t="s">
        <v>6</v>
      </c>
      <c r="D83" s="4"/>
      <c r="E83" s="8">
        <v>-1871.87</v>
      </c>
    </row>
    <row r="84" spans="1:7" x14ac:dyDescent="0.25">
      <c r="A84" s="1"/>
      <c r="B84" s="6"/>
      <c r="C84" s="1" t="s">
        <v>7</v>
      </c>
      <c r="D84" s="4"/>
      <c r="E84" s="8">
        <v>-295.27999999999997</v>
      </c>
    </row>
    <row r="85" spans="1:7" x14ac:dyDescent="0.25">
      <c r="A85" s="1"/>
      <c r="B85" s="6"/>
      <c r="C85" s="1" t="s">
        <v>8</v>
      </c>
      <c r="D85" s="4"/>
      <c r="E85" s="9">
        <v>0</v>
      </c>
    </row>
    <row r="86" spans="1:7" x14ac:dyDescent="0.25">
      <c r="A86" s="19" t="s">
        <v>13</v>
      </c>
      <c r="B86" s="17"/>
      <c r="C86" s="19"/>
      <c r="D86" s="20"/>
      <c r="E86" s="21">
        <f>SUM(E79:E85)</f>
        <v>-40824.19</v>
      </c>
    </row>
    <row r="87" spans="1:7" x14ac:dyDescent="0.25">
      <c r="A87" s="12"/>
      <c r="B87" s="13"/>
      <c r="C87" s="12"/>
      <c r="D87" s="10"/>
      <c r="E87" s="24"/>
    </row>
    <row r="88" spans="1:7" x14ac:dyDescent="0.25">
      <c r="A88" s="15"/>
      <c r="B88" s="15" t="s">
        <v>32</v>
      </c>
      <c r="C88" s="16"/>
      <c r="D88" s="16"/>
      <c r="E88" s="16"/>
    </row>
    <row r="89" spans="1:7" x14ac:dyDescent="0.25">
      <c r="A89" s="17"/>
      <c r="B89" s="18"/>
      <c r="C89" s="16"/>
      <c r="D89" s="16"/>
      <c r="E89" s="30" t="s">
        <v>29</v>
      </c>
    </row>
    <row r="90" spans="1:7" x14ac:dyDescent="0.25">
      <c r="A90" s="1"/>
      <c r="B90" s="2" t="s">
        <v>2</v>
      </c>
      <c r="C90" s="3" t="s">
        <v>3</v>
      </c>
      <c r="D90" s="4"/>
      <c r="E90" s="5"/>
    </row>
    <row r="91" spans="1:7" x14ac:dyDescent="0.25">
      <c r="A91" s="1" t="s">
        <v>4</v>
      </c>
      <c r="B91" s="6" t="s">
        <v>30</v>
      </c>
      <c r="C91" s="1" t="s">
        <v>6</v>
      </c>
      <c r="D91" s="4"/>
      <c r="E91" s="7">
        <v>-29918.73</v>
      </c>
      <c r="G91" s="31">
        <f>E91+E95</f>
        <v>-31548</v>
      </c>
    </row>
    <row r="92" spans="1:7" x14ac:dyDescent="0.25">
      <c r="A92" s="1"/>
      <c r="B92" s="6"/>
      <c r="C92" s="1" t="s">
        <v>7</v>
      </c>
      <c r="D92" s="4"/>
      <c r="E92" s="7">
        <v>-1707.23</v>
      </c>
      <c r="G92" s="31">
        <f>E92+E96</f>
        <v>-1892.73</v>
      </c>
    </row>
    <row r="93" spans="1:7" x14ac:dyDescent="0.25">
      <c r="A93" s="1"/>
      <c r="B93" s="6"/>
      <c r="C93" s="1" t="s">
        <v>8</v>
      </c>
      <c r="D93" s="4"/>
      <c r="E93" s="9">
        <v>0</v>
      </c>
      <c r="G93">
        <v>0</v>
      </c>
    </row>
    <row r="94" spans="1:7" x14ac:dyDescent="0.25">
      <c r="A94" s="1"/>
      <c r="B94" s="2" t="s">
        <v>9</v>
      </c>
      <c r="C94" s="3" t="s">
        <v>10</v>
      </c>
      <c r="D94" s="4"/>
      <c r="E94" s="5"/>
    </row>
    <row r="95" spans="1:7" x14ac:dyDescent="0.25">
      <c r="A95" s="1" t="s">
        <v>11</v>
      </c>
      <c r="B95" s="6" t="s">
        <v>31</v>
      </c>
      <c r="C95" s="1" t="s">
        <v>6</v>
      </c>
      <c r="D95" s="4"/>
      <c r="E95" s="8">
        <v>-1629.27</v>
      </c>
    </row>
    <row r="96" spans="1:7" x14ac:dyDescent="0.25">
      <c r="A96" s="1"/>
      <c r="B96" s="6"/>
      <c r="C96" s="1" t="s">
        <v>7</v>
      </c>
      <c r="D96" s="4"/>
      <c r="E96" s="8">
        <v>-185.5</v>
      </c>
    </row>
    <row r="97" spans="1:5" x14ac:dyDescent="0.25">
      <c r="A97" s="1"/>
      <c r="B97" s="6"/>
      <c r="C97" s="1" t="s">
        <v>8</v>
      </c>
      <c r="D97" s="4"/>
      <c r="E97" s="9">
        <v>0</v>
      </c>
    </row>
    <row r="98" spans="1:5" x14ac:dyDescent="0.25">
      <c r="A98" s="19" t="s">
        <v>13</v>
      </c>
      <c r="B98" s="17"/>
      <c r="C98" s="19"/>
      <c r="D98" s="20"/>
      <c r="E98" s="21">
        <f>SUM(E91:E97)</f>
        <v>-33440.729999999996</v>
      </c>
    </row>
    <row r="99" spans="1:5" x14ac:dyDescent="0.25">
      <c r="A99" s="12"/>
      <c r="B99" s="13"/>
      <c r="C99" s="12"/>
      <c r="D99" s="10"/>
      <c r="E99" s="24"/>
    </row>
    <row r="100" spans="1:5" x14ac:dyDescent="0.25">
      <c r="A100" s="22" t="s">
        <v>20</v>
      </c>
      <c r="B100" s="22"/>
      <c r="C100" s="22"/>
      <c r="D100" s="22"/>
      <c r="E100" s="23">
        <f>SUM(E12,E24,E36,E48,E62,E74,E86,E98)</f>
        <v>-343027.52</v>
      </c>
    </row>
  </sheetData>
  <printOptions horizontalCentered="1"/>
  <pageMargins left="0" right="0" top="0.75" bottom="0.75" header="0.3" footer="0.3"/>
  <pageSetup scale="85" fitToHeight="0" orientation="portrait" r:id="rId1"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Kelsey Grant Liebmann</dc:creator>
  <cp:keywords/>
  <dc:description/>
  <cp:lastModifiedBy>Kelsey Liebmann</cp:lastModifiedBy>
  <cp:revision/>
  <cp:lastPrinted>2025-09-09T14:01:52Z</cp:lastPrinted>
  <dcterms:created xsi:type="dcterms:W3CDTF">2025-04-25T19:09:54Z</dcterms:created>
  <dcterms:modified xsi:type="dcterms:W3CDTF">2026-03-04T18:58:29Z</dcterms:modified>
  <cp:category/>
  <cp:contentStatus/>
</cp:coreProperties>
</file>