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lou\Documents\"/>
    </mc:Choice>
  </mc:AlternateContent>
  <xr:revisionPtr revIDLastSave="0" documentId="8_{CE611BD6-5457-4E2B-9612-90163A402DBF}" xr6:coauthVersionLast="47" xr6:coauthVersionMax="47" xr10:uidLastSave="{00000000-0000-0000-0000-000000000000}"/>
  <bookViews>
    <workbookView xWindow="-120" yWindow="-120" windowWidth="29040" windowHeight="17520" tabRatio="928" xr2:uid="{00000000-000D-0000-FFFF-FFFF00000000}"/>
  </bookViews>
  <sheets>
    <sheet name="Cover Letter" sheetId="21" r:id="rId1"/>
    <sheet name="Sheet1" sheetId="22" r:id="rId2"/>
    <sheet name="Customer Report" sheetId="14" r:id="rId3"/>
  </sheets>
  <externalReferences>
    <externalReference r:id="rId4"/>
    <externalReference r:id="rId5"/>
    <externalReference r:id="rId6"/>
    <externalReference r:id="rId7"/>
  </externalReferences>
  <definedNames>
    <definedName name="_SH3" localSheetId="0">#REF!</definedName>
    <definedName name="_SH3">#REF!</definedName>
    <definedName name="_SL1" localSheetId="0">#REF!</definedName>
    <definedName name="_SL1">#REF!</definedName>
    <definedName name="_SL2" localSheetId="0">#REF!</definedName>
    <definedName name="_SL2">#REF!</definedName>
    <definedName name="_SL3">#REF!</definedName>
    <definedName name="_SL5">#REF!</definedName>
    <definedName name="ccps">'[1]DW CCPS Tie Out'!$A$8:$C$62</definedName>
    <definedName name="DATA1">#REF!</definedName>
    <definedName name="DATA2">#REF!</definedName>
    <definedName name="_xlnm.Database" localSheetId="0">#REF!</definedName>
    <definedName name="_xlnm.Database">#REF!</definedName>
    <definedName name="HELP">#REF!</definedName>
    <definedName name="HELPME">#REF!</definedName>
    <definedName name="Payment">#REF!</definedName>
    <definedName name="prev" localSheetId="0">#REF!</definedName>
    <definedName name="prev">#REF!</definedName>
    <definedName name="prior" localSheetId="0">#REF!</definedName>
    <definedName name="prior">#REF!</definedName>
    <definedName name="sales">'[2]DW CCPS Tie Out'!$A$9:$C$63</definedName>
    <definedName name="Sales3q12">'[3]BIO 3q12'!$A$8:$D$60</definedName>
    <definedName name="sls2q12">'[4]BIO 2Q12'!$A$8:$C$61</definedName>
    <definedName name="TEST0">#REF!</definedName>
    <definedName name="TESTKEYS">#REF!</definedName>
    <definedName name="TESTVKEY">#REF!</definedName>
    <definedName name="tot" localSheetId="0">#REF!</definedName>
    <definedName name="tot">#REF!</definedName>
    <definedName name="total">#REF!</definedName>
  </definedNames>
  <calcPr calcId="19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" i="14" l="1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C4" i="22"/>
  <c r="A1" i="14" l="1"/>
  <c r="A2" i="14"/>
  <c r="H3" i="14" l="1"/>
  <c r="M5" i="14" l="1"/>
  <c r="J3" i="14" s="1"/>
</calcChain>
</file>

<file path=xl/sharedStrings.xml><?xml version="1.0" encoding="utf-8"?>
<sst xmlns="http://schemas.openxmlformats.org/spreadsheetml/2006/main" count="268" uniqueCount="53">
  <si>
    <t xml:space="preserve">Dear Customer, </t>
  </si>
  <si>
    <t>Sincerely,</t>
  </si>
  <si>
    <t>Commercial Payments</t>
  </si>
  <si>
    <t>Johnson &amp; Johnson Health Care Systems Inc.</t>
  </si>
  <si>
    <t>Also, please note that any $0 amount appearing in the enclosed customer payment report indicates a line item that is ineligible for payment under the terms and conditions of our agreement.</t>
  </si>
  <si>
    <t>SMID</t>
  </si>
  <si>
    <t>JNJID</t>
  </si>
  <si>
    <t>AccountName</t>
  </si>
  <si>
    <t>Ship-To Address</t>
  </si>
  <si>
    <t>City</t>
  </si>
  <si>
    <t>State</t>
  </si>
  <si>
    <t>Zip Code</t>
  </si>
  <si>
    <t>Collection Date</t>
  </si>
  <si>
    <t>Manufacturer</t>
  </si>
  <si>
    <t>Part Number</t>
  </si>
  <si>
    <t>Quantity Returned</t>
  </si>
  <si>
    <t>$ Per Return</t>
  </si>
  <si>
    <t>Rebate Amount</t>
  </si>
  <si>
    <t>Total</t>
  </si>
  <si>
    <t>Sum</t>
  </si>
  <si>
    <t>Customer Report</t>
  </si>
  <si>
    <t>Montefiore Medical Center</t>
  </si>
  <si>
    <t>555 South Broadway Building B, 2nd Floor</t>
  </si>
  <si>
    <t>Tarrytown, NY 10591</t>
  </si>
  <si>
    <t>111 East 210th Street</t>
  </si>
  <si>
    <t>Bronx</t>
  </si>
  <si>
    <t>NY</t>
  </si>
  <si>
    <t>10467-2401</t>
  </si>
  <si>
    <t>White Plains Hospital Center</t>
  </si>
  <si>
    <t>10601-4607</t>
  </si>
  <si>
    <t>ACU10043342</t>
  </si>
  <si>
    <t>ACU10135910</t>
  </si>
  <si>
    <t>BIO10438577</t>
  </si>
  <si>
    <t>BIO10439072</t>
  </si>
  <si>
    <t>R10439236</t>
  </si>
  <si>
    <t>RE:  Johnson &amp; Johnson Health Care Systems Inc. (JJHCS) Agreement effective 12/1/2024 - 11/30/2025</t>
  </si>
  <si>
    <t>Jason Lutomski</t>
  </si>
  <si>
    <t>On behalf of Johnson &amp; Johnson Health Care Systems Inc. I would like to express our appreciation for Montefiore Medical Center's support of products from the Johnson &amp; Johnson Companies.  If you have any questions regarding this payment, please do not hesitate to contact me at 908-218-6690.</t>
  </si>
  <si>
    <t>Montefiore Medical Center Moses Division</t>
  </si>
  <si>
    <t>BIOSENSE WEBSTER</t>
  </si>
  <si>
    <t>ACUSON</t>
  </si>
  <si>
    <t>41 East Post Road</t>
  </si>
  <si>
    <t>White Plains</t>
  </si>
  <si>
    <t>Montefiore MC - WDH</t>
  </si>
  <si>
    <t>1600 Tenbroeck Avenue</t>
  </si>
  <si>
    <t>10461-2008</t>
  </si>
  <si>
    <r>
      <t xml:space="preserve">This is to inform you that a </t>
    </r>
    <r>
      <rPr>
        <b/>
        <sz val="11"/>
        <color theme="1"/>
        <rFont val="Calibri"/>
        <family val="2"/>
        <scheme val="minor"/>
      </rPr>
      <t>$42,300.00</t>
    </r>
    <r>
      <rPr>
        <sz val="11"/>
        <color theme="1"/>
        <rFont val="Calibri"/>
        <family val="2"/>
        <scheme val="minor"/>
      </rPr>
      <t xml:space="preserve"> payment was earned under the above referenced Agreement for the period relating to </t>
    </r>
    <r>
      <rPr>
        <b/>
        <sz val="11"/>
        <color theme="1"/>
        <rFont val="Calibri"/>
        <family val="2"/>
        <scheme val="minor"/>
      </rPr>
      <t>2Q25</t>
    </r>
    <r>
      <rPr>
        <sz val="11"/>
        <color theme="1"/>
        <rFont val="Calibri"/>
        <family val="2"/>
        <scheme val="minor"/>
      </rPr>
      <t>. This payment is being sent separately via EFT or check depending on your previously provided instructions.</t>
    </r>
  </si>
  <si>
    <r>
      <t xml:space="preserve">The attached customer payment report[s] will provide more detail concerning the payment. Please be advised that </t>
    </r>
    <r>
      <rPr>
        <b/>
        <sz val="11"/>
        <color rgb="FF000000"/>
        <rFont val="Calibri"/>
        <family val="2"/>
        <scheme val="minor"/>
      </rPr>
      <t>$42,300.00</t>
    </r>
    <r>
      <rPr>
        <sz val="11"/>
        <color rgb="FF000000"/>
        <rFont val="Calibri"/>
        <family val="2"/>
        <scheme val="minor"/>
      </rPr>
      <t xml:space="preserve"> may be considered a discount, which Montefiore Medical Center may have an obligation to reflect in any cost report or claim for reimbursement filed with Medicare/Medicaid or other third-party payer.</t>
    </r>
  </si>
  <si>
    <t>Row Labels</t>
  </si>
  <si>
    <t>Grand Total</t>
  </si>
  <si>
    <t>Sum of Rebate Amount</t>
  </si>
  <si>
    <t>Extra</t>
  </si>
  <si>
    <t>MMC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</si>
</sst>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[$-F800]dddd\,\ mmmm\ dd\,\ yy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theme="1"/>
      <name val="Lucida Bright"/>
      <family val="2"/>
    </font>
    <font>
      <sz val="11"/>
      <color theme="0"/>
      <name val="Lucida Bright"/>
      <family val="2"/>
    </font>
    <font>
      <sz val="11"/>
      <color rgb="FF9C0006"/>
      <name val="Lucida Bright"/>
      <family val="2"/>
    </font>
    <font>
      <b/>
      <sz val="11"/>
      <color rgb="FFFA7D00"/>
      <name val="Lucida Bright"/>
      <family val="2"/>
    </font>
    <font>
      <b/>
      <sz val="11"/>
      <color theme="0"/>
      <name val="Lucida Bright"/>
      <family val="2"/>
    </font>
    <font>
      <i/>
      <sz val="11"/>
      <color rgb="FF7F7F7F"/>
      <name val="Lucida Bright"/>
      <family val="2"/>
    </font>
    <font>
      <sz val="11"/>
      <color rgb="FF006100"/>
      <name val="Lucida Bright"/>
      <family val="2"/>
    </font>
    <font>
      <b/>
      <sz val="15"/>
      <color theme="3"/>
      <name val="Lucida Bright"/>
      <family val="2"/>
    </font>
    <font>
      <b/>
      <sz val="13"/>
      <color theme="3"/>
      <name val="Lucida Bright"/>
      <family val="2"/>
    </font>
    <font>
      <b/>
      <sz val="11"/>
      <color theme="3"/>
      <name val="Lucida Bright"/>
      <family val="2"/>
    </font>
    <font>
      <sz val="11"/>
      <color rgb="FF3F3F76"/>
      <name val="Lucida Bright"/>
      <family val="2"/>
    </font>
    <font>
      <sz val="11"/>
      <color rgb="FFFA7D00"/>
      <name val="Lucida Bright"/>
      <family val="2"/>
    </font>
    <font>
      <sz val="11"/>
      <color rgb="FF9C6500"/>
      <name val="Lucida Bright"/>
      <family val="2"/>
    </font>
    <font>
      <b/>
      <sz val="11"/>
      <color rgb="FF3F3F3F"/>
      <name val="Lucida Bright"/>
      <family val="2"/>
    </font>
    <font>
      <b/>
      <sz val="11"/>
      <color theme="1"/>
      <name val="Lucida Bright"/>
      <family val="2"/>
    </font>
    <font>
      <sz val="11"/>
      <color rgb="FFFF0000"/>
      <name val="Lucida Bright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2">
    <xf numFmtId="0" fontId="0" fillId="0" borderId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7" borderId="4" applyNumberFormat="0" applyAlignment="0" applyProtection="0"/>
    <xf numFmtId="0" fontId="19" fillId="8" borderId="5" applyNumberFormat="0" applyAlignment="0" applyProtection="0"/>
    <xf numFmtId="0" fontId="20" fillId="8" borderId="4" applyNumberFormat="0" applyAlignment="0" applyProtection="0"/>
    <xf numFmtId="0" fontId="21" fillId="0" borderId="6" applyNumberFormat="0" applyFill="0" applyAlignment="0" applyProtection="0"/>
    <xf numFmtId="0" fontId="11" fillId="9" borderId="7" applyNumberFormat="0" applyAlignment="0" applyProtection="0"/>
    <xf numFmtId="0" fontId="10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2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164" fontId="25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27" fillId="11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28" fillId="5" borderId="0" applyNumberFormat="0" applyBorder="0" applyAlignment="0" applyProtection="0"/>
    <xf numFmtId="0" fontId="29" fillId="8" borderId="4" applyNumberFormat="0" applyAlignment="0" applyProtection="0"/>
    <xf numFmtId="0" fontId="30" fillId="9" borderId="7" applyNumberFormat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0" borderId="1" applyNumberFormat="0" applyFill="0" applyAlignment="0" applyProtection="0"/>
    <xf numFmtId="0" fontId="34" fillId="0" borderId="2" applyNumberFormat="0" applyFill="0" applyAlignment="0" applyProtection="0"/>
    <xf numFmtId="0" fontId="35" fillId="0" borderId="3" applyNumberFormat="0" applyFill="0" applyAlignment="0" applyProtection="0"/>
    <xf numFmtId="0" fontId="35" fillId="0" borderId="0" applyNumberFormat="0" applyFill="0" applyBorder="0" applyAlignment="0" applyProtection="0"/>
    <xf numFmtId="0" fontId="36" fillId="7" borderId="4" applyNumberFormat="0" applyAlignment="0" applyProtection="0"/>
    <xf numFmtId="0" fontId="37" fillId="0" borderId="6" applyNumberFormat="0" applyFill="0" applyAlignment="0" applyProtection="0"/>
    <xf numFmtId="0" fontId="38" fillId="6" borderId="0" applyNumberFormat="0" applyBorder="0" applyAlignment="0" applyProtection="0"/>
    <xf numFmtId="0" fontId="26" fillId="0" borderId="0"/>
    <xf numFmtId="0" fontId="6" fillId="0" borderId="0"/>
    <xf numFmtId="0" fontId="26" fillId="10" borderId="8" applyNumberFormat="0" applyFont="0" applyAlignment="0" applyProtection="0"/>
    <xf numFmtId="0" fontId="39" fillId="8" borderId="5" applyNumberFormat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2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44" fillId="0" borderId="0"/>
    <xf numFmtId="0" fontId="5" fillId="0" borderId="0"/>
    <xf numFmtId="0" fontId="5" fillId="0" borderId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43" fontId="6" fillId="0" borderId="0" applyFont="0" applyFill="0" applyBorder="0" applyAlignment="0" applyProtection="0"/>
    <xf numFmtId="42" fontId="44" fillId="0" borderId="0"/>
    <xf numFmtId="0" fontId="5" fillId="0" borderId="0"/>
    <xf numFmtId="0" fontId="1" fillId="0" borderId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26" fillId="0" borderId="0"/>
    <xf numFmtId="0" fontId="6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0" borderId="0"/>
    <xf numFmtId="42" fontId="44" fillId="0" borderId="0"/>
    <xf numFmtId="0" fontId="25" fillId="0" borderId="0"/>
    <xf numFmtId="0" fontId="6" fillId="0" borderId="0"/>
    <xf numFmtId="0" fontId="44" fillId="0" borderId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6" fillId="0" borderId="0"/>
    <xf numFmtId="0" fontId="6" fillId="0" borderId="0"/>
    <xf numFmtId="0" fontId="6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165" fontId="3" fillId="0" borderId="0" xfId="0" applyNumberFormat="1" applyFont="1" applyAlignment="1">
      <alignment wrapText="1"/>
    </xf>
    <xf numFmtId="0" fontId="7" fillId="2" borderId="0" xfId="0" applyFont="1" applyFill="1"/>
    <xf numFmtId="0" fontId="8" fillId="0" borderId="0" xfId="0" applyFont="1"/>
    <xf numFmtId="14" fontId="0" fillId="0" borderId="0" xfId="0" applyNumberFormat="1"/>
    <xf numFmtId="44" fontId="0" fillId="0" borderId="0" xfId="3" applyFont="1" applyBorder="1"/>
    <xf numFmtId="0" fontId="12" fillId="3" borderId="0" xfId="0" applyFont="1" applyFill="1"/>
    <xf numFmtId="44" fontId="12" fillId="3" borderId="0" xfId="3" applyFont="1" applyFill="1" applyBorder="1"/>
    <xf numFmtId="44" fontId="0" fillId="0" borderId="0" xfId="3" applyFont="1"/>
    <xf numFmtId="44" fontId="0" fillId="0" borderId="0" xfId="0" applyNumberFormat="1"/>
    <xf numFmtId="14" fontId="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52">
    <cellStyle name="20% - Accent1" xfId="20" builtinId="30" customBuiltin="1"/>
    <cellStyle name="20% - Accent1 2" xfId="41" xr:uid="{9E5F16D2-42A4-4479-A9E0-5790D824B65D}"/>
    <cellStyle name="20% - Accent2" xfId="23" builtinId="34" customBuiltin="1"/>
    <cellStyle name="20% - Accent2 2" xfId="42" xr:uid="{C146A0CA-75B5-447C-B783-7C30BA0C24B9}"/>
    <cellStyle name="20% - Accent3" xfId="26" builtinId="38" customBuiltin="1"/>
    <cellStyle name="20% - Accent3 2" xfId="43" xr:uid="{BCC17876-9EB2-4FBF-9FF4-A58C7284A2C6}"/>
    <cellStyle name="20% - Accent4" xfId="29" builtinId="42" customBuiltin="1"/>
    <cellStyle name="20% - Accent4 2" xfId="44" xr:uid="{EC004AC4-170F-43CA-832B-61A0ACC8FB51}"/>
    <cellStyle name="20% - Accent5" xfId="32" builtinId="46" customBuiltin="1"/>
    <cellStyle name="20% - Accent5 2" xfId="45" xr:uid="{86BD9F3C-1DA8-4C7F-A183-7F9073C7299C}"/>
    <cellStyle name="20% - Accent6" xfId="35" builtinId="50" customBuiltin="1"/>
    <cellStyle name="20% - Accent6 2" xfId="46" xr:uid="{157107B3-DC26-473E-A7E6-1DCD443C70B1}"/>
    <cellStyle name="40% - Accent1" xfId="21" builtinId="31" customBuiltin="1"/>
    <cellStyle name="40% - Accent1 2" xfId="47" xr:uid="{74EDA33D-9092-4AD1-B6CB-9ED78369386B}"/>
    <cellStyle name="40% - Accent2" xfId="24" builtinId="35" customBuiltin="1"/>
    <cellStyle name="40% - Accent2 2" xfId="48" xr:uid="{BFD07A9D-A57D-47A8-85D6-B430A337AF51}"/>
    <cellStyle name="40% - Accent3" xfId="27" builtinId="39" customBuiltin="1"/>
    <cellStyle name="40% - Accent3 2" xfId="49" xr:uid="{75D64C40-2930-4413-A3C4-B82B08BFAE9B}"/>
    <cellStyle name="40% - Accent4" xfId="30" builtinId="43" customBuiltin="1"/>
    <cellStyle name="40% - Accent4 2" xfId="50" xr:uid="{5D4F88ED-225C-45B2-BE83-15D236BC420A}"/>
    <cellStyle name="40% - Accent5" xfId="33" builtinId="47" customBuiltin="1"/>
    <cellStyle name="40% - Accent5 2" xfId="51" xr:uid="{FA5BECE6-7AAD-4922-98A1-F286A166C18F}"/>
    <cellStyle name="40% - Accent6" xfId="36" builtinId="51" customBuiltin="1"/>
    <cellStyle name="40% - Accent6 2" xfId="52" xr:uid="{52E211D1-9CE8-4632-A827-E2DBBBA77624}"/>
    <cellStyle name="60% - Accent1 2" xfId="53" xr:uid="{306B9EB1-4A08-40EC-9227-35C59D3CF8AE}"/>
    <cellStyle name="60% - Accent1 3" xfId="118" xr:uid="{7A32C319-EA76-44A0-A558-1269E3E78CCA}"/>
    <cellStyle name="60% - Accent2 2" xfId="54" xr:uid="{969DE1BF-F1DC-45F8-A929-8051E8EE4839}"/>
    <cellStyle name="60% - Accent2 3" xfId="119" xr:uid="{5844AB8A-F818-48C4-A46E-24AB592425A0}"/>
    <cellStyle name="60% - Accent3 2" xfId="55" xr:uid="{F5B2BC0D-4AE7-4C0D-9FF3-68FD55E8F75B}"/>
    <cellStyle name="60% - Accent3 3" xfId="120" xr:uid="{7A6F1162-8233-464F-B9D3-08FD01DDF4AC}"/>
    <cellStyle name="60% - Accent4 2" xfId="56" xr:uid="{1C1FF391-ED5A-4DC5-AC67-1FAD3E308F5E}"/>
    <cellStyle name="60% - Accent4 3" xfId="121" xr:uid="{6A8184DD-0A3F-45C4-968F-809E97942A15}"/>
    <cellStyle name="60% - Accent5 2" xfId="57" xr:uid="{2BAA0F13-39B6-4C01-AE3C-6F7E4E527605}"/>
    <cellStyle name="60% - Accent5 3" xfId="122" xr:uid="{C4327BF1-9A79-4D0C-BC48-780D21C92CD5}"/>
    <cellStyle name="60% - Accent6 2" xfId="58" xr:uid="{AC888647-10D4-4F6B-9E7B-3BC14243BF87}"/>
    <cellStyle name="60% - Accent6 3" xfId="123" xr:uid="{F2297EBC-144C-4F77-9458-1297092FC720}"/>
    <cellStyle name="Accent1" xfId="19" builtinId="29" customBuiltin="1"/>
    <cellStyle name="Accent1 2" xfId="59" xr:uid="{D0624260-CA0B-4DC0-B530-4A6B25710B41}"/>
    <cellStyle name="Accent2" xfId="22" builtinId="33" customBuiltin="1"/>
    <cellStyle name="Accent2 2" xfId="60" xr:uid="{50FC0621-A3C4-43CF-80F5-554D2A210B2C}"/>
    <cellStyle name="Accent3" xfId="25" builtinId="37" customBuiltin="1"/>
    <cellStyle name="Accent3 2" xfId="61" xr:uid="{D617897F-F7CC-4D6F-9717-77A79C7124AF}"/>
    <cellStyle name="Accent4" xfId="28" builtinId="41" customBuiltin="1"/>
    <cellStyle name="Accent4 2" xfId="62" xr:uid="{0AE921DD-1E0A-4760-A34F-38E44C4FDB2C}"/>
    <cellStyle name="Accent5" xfId="31" builtinId="45" customBuiltin="1"/>
    <cellStyle name="Accent5 2" xfId="63" xr:uid="{CA5B4B7F-E276-4474-98FB-F43B1CE12F16}"/>
    <cellStyle name="Accent6" xfId="34" builtinId="49" customBuiltin="1"/>
    <cellStyle name="Accent6 2" xfId="64" xr:uid="{E1E964B3-3FC2-488D-AB9A-F50533602086}"/>
    <cellStyle name="Bad" xfId="9" builtinId="27" customBuiltin="1"/>
    <cellStyle name="Bad 2" xfId="65" xr:uid="{E1E19503-20FC-4162-99C0-EA5A239E3EC0}"/>
    <cellStyle name="Calculation" xfId="12" builtinId="22" customBuiltin="1"/>
    <cellStyle name="Calculation 2" xfId="66" xr:uid="{6C5D97CC-3114-4C64-B0B5-32BD4DA150FD}"/>
    <cellStyle name="Check Cell" xfId="14" builtinId="23" customBuiltin="1"/>
    <cellStyle name="Check Cell 2" xfId="67" xr:uid="{546BD83D-7C6A-43C2-94BB-A126B412AC26}"/>
    <cellStyle name="Comma 2" xfId="101" xr:uid="{9E8E5319-2F5D-42B3-8F64-74E9AD8A4525}"/>
    <cellStyle name="Comma 2 2" xfId="124" xr:uid="{AD7CCB6B-7CCA-46DF-95C3-FE6E66B071D9}"/>
    <cellStyle name="Comma 2 3" xfId="125" xr:uid="{C5C19959-5E3C-4060-9184-70EFC609683A}"/>
    <cellStyle name="Comma 2 4" xfId="142" xr:uid="{4DB33574-5AB2-4F8B-ACE9-E3686940E401}"/>
    <cellStyle name="Comma 3" xfId="102" xr:uid="{A5A087BA-86BD-4E9D-BDEE-95B277CD38D9}"/>
    <cellStyle name="Comma 3 2" xfId="146" xr:uid="{43094BA3-F156-4700-A6E7-42E1B8D42C5D}"/>
    <cellStyle name="Comma 3 3" xfId="147" xr:uid="{E9ED4696-ED9F-4EE0-BDB5-2EFFF83BA5F9}"/>
    <cellStyle name="Comma 5" xfId="84" xr:uid="{BAAEDC4E-926B-4B2D-92F0-12C83C31DAB0}"/>
    <cellStyle name="Currency" xfId="3" builtinId="4"/>
    <cellStyle name="Currency 2" xfId="40" xr:uid="{1CC8E532-C49D-4B64-916D-A3C799333882}"/>
    <cellStyle name="Currency 2 2" xfId="103" xr:uid="{2F5B2822-45E5-4CB2-B5E7-6A18B15057B7}"/>
    <cellStyle name="Currency 2 3" xfId="128" xr:uid="{7DA5A37A-CBAB-4C0F-8629-EC2A8D967E23}"/>
    <cellStyle name="Currency 2 4" xfId="132" xr:uid="{BABC990F-3DEA-43AB-9D71-F964E57DA93B}"/>
    <cellStyle name="Currency 3" xfId="104" xr:uid="{AD8C1D5B-F2EB-4C96-BB31-D27DFD81959E}"/>
    <cellStyle name="Currency 4" xfId="105" xr:uid="{D05A8CB5-9C45-472C-9803-31669BAD79FE}"/>
    <cellStyle name="Currency 5" xfId="151" xr:uid="{167CDB28-C8B3-4556-A4D0-1CEF4FC47241}"/>
    <cellStyle name="Explanatory Text" xfId="17" builtinId="53" customBuiltin="1"/>
    <cellStyle name="Explanatory Text 2" xfId="68" xr:uid="{811CB2BC-5363-431C-96B0-4AFB0FA3C666}"/>
    <cellStyle name="Good" xfId="8" builtinId="26" customBuiltin="1"/>
    <cellStyle name="Good 2" xfId="69" xr:uid="{3C19DB4E-D45A-4DCA-9E9F-688D195E1C03}"/>
    <cellStyle name="Heading 1" xfId="4" builtinId="16" customBuiltin="1"/>
    <cellStyle name="Heading 1 2" xfId="70" xr:uid="{9617B573-ED11-462F-82E2-1C7F793933F5}"/>
    <cellStyle name="Heading 2" xfId="5" builtinId="17" customBuiltin="1"/>
    <cellStyle name="Heading 2 2" xfId="71" xr:uid="{4384F3B4-2B19-42C1-B799-6BFCA85A1DF7}"/>
    <cellStyle name="Heading 3" xfId="6" builtinId="18" customBuiltin="1"/>
    <cellStyle name="Heading 3 2" xfId="72" xr:uid="{9FF6FFF6-4FE7-4FD9-9EEC-2BA8A0F37455}"/>
    <cellStyle name="Heading 4" xfId="7" builtinId="19" customBuiltin="1"/>
    <cellStyle name="Heading 4 2" xfId="73" xr:uid="{9791B198-A009-4800-A1C5-8D0DBFA16FC3}"/>
    <cellStyle name="Hyperlink 2" xfId="85" xr:uid="{EA8CE79C-6722-4D23-88AF-69E12D9E0D59}"/>
    <cellStyle name="Input" xfId="10" builtinId="20" customBuiltin="1"/>
    <cellStyle name="Input 2" xfId="74" xr:uid="{7A1B24BB-E41B-40EF-BFEA-DA0A9B159727}"/>
    <cellStyle name="Linked Cell" xfId="13" builtinId="24" customBuiltin="1"/>
    <cellStyle name="Linked Cell 2" xfId="75" xr:uid="{664806AA-C8F6-42B4-A11E-C4DF5B40C293}"/>
    <cellStyle name="Neutral 2" xfId="76" xr:uid="{1CFC5233-AFCD-4959-9436-651ED65CA39A}"/>
    <cellStyle name="Neutral 3" xfId="117" xr:uid="{1E367F80-064F-40DB-ACFE-2E1DDE3343A7}"/>
    <cellStyle name="Normal" xfId="0" builtinId="0"/>
    <cellStyle name="Normal 10" xfId="149" xr:uid="{0047F83D-9D40-4877-B8FF-437E9B422FB4}"/>
    <cellStyle name="Normal 17" xfId="106" xr:uid="{DA701453-AEAE-48D5-A827-496CC0EE81B6}"/>
    <cellStyle name="Normal 2" xfId="2" xr:uid="{00000000-0005-0000-0000-000002000000}"/>
    <cellStyle name="Normal 2 2" xfId="77" xr:uid="{04ABD8EB-EBB2-4DCC-8A97-D9A9D6988B69}"/>
    <cellStyle name="Normal 2 2 2" xfId="78" xr:uid="{16D8882D-4E0B-4A40-9DFE-EB2101CFE676}"/>
    <cellStyle name="Normal 2 2 3" xfId="148" xr:uid="{233A1A0C-6DCA-4060-A64A-F1FEE90696DB}"/>
    <cellStyle name="Normal 2 3" xfId="86" xr:uid="{B67B4801-6A96-4DB9-8739-E7FF715CB7BB}"/>
    <cellStyle name="Normal 2 3 2" xfId="144" xr:uid="{39283010-5C22-4353-8DA5-42A15A6B3F37}"/>
    <cellStyle name="Normal 2 3 3" xfId="143" xr:uid="{4E38D955-B742-47F9-ABB7-707F0852F960}"/>
    <cellStyle name="Normal 2 4" xfId="87" xr:uid="{07E2FD25-0C19-4523-94FA-DEC5B7D80A9C}"/>
    <cellStyle name="Normal 2 5" xfId="88" xr:uid="{DC546A6A-4C53-452A-B7CA-3CAD7D167F40}"/>
    <cellStyle name="Normal 2 6" xfId="37" xr:uid="{0D2D8198-62D0-46BD-A850-5DD359074442}"/>
    <cellStyle name="Normal 29" xfId="131" xr:uid="{39D66473-3C9B-4C1D-97EC-CF310B39DD0D}"/>
    <cellStyle name="Normal 3" xfId="38" xr:uid="{B9C4315D-EB10-4E5D-AB6E-43EF03DA6FC3}"/>
    <cellStyle name="Normal 3 2" xfId="89" xr:uid="{7F4AF530-CCDE-4365-BF32-52BB7FB323A6}"/>
    <cellStyle name="Normal 3 2 2" xfId="133" xr:uid="{E6DE98FA-828E-4515-9E7E-537523F130AC}"/>
    <cellStyle name="Normal 3 2 3" xfId="134" xr:uid="{A38F4BFF-350E-49B1-8375-093A71157A99}"/>
    <cellStyle name="Normal 3 2 4" xfId="135" xr:uid="{586E3DAE-30A1-478B-B6EA-F73A26EACE06}"/>
    <cellStyle name="Normal 3 3" xfId="111" xr:uid="{16E47993-2996-4601-90FC-76EF7098BB23}"/>
    <cellStyle name="Normal 3 4" xfId="129" xr:uid="{F08B8038-9B25-40E9-96A6-E5C9906C23E7}"/>
    <cellStyle name="Normal 3 5" xfId="136" xr:uid="{B8A9A3C3-1DBC-41DB-9593-1C6CA85DFC29}"/>
    <cellStyle name="Normal 3 6" xfId="145" xr:uid="{2D8312C4-BF9C-4054-90F2-0A2FCA0B44B0}"/>
    <cellStyle name="Normal 4" xfId="83" xr:uid="{354C3E05-8CFA-4552-BCA7-CD0FC6CEE3E2}"/>
    <cellStyle name="Normal 4 2" xfId="115" xr:uid="{F74DFEE0-CCFB-453F-8C9B-6CA9A239305A}"/>
    <cellStyle name="Normal 4 3" xfId="113" xr:uid="{E55E7A8F-DDF0-426D-A2F7-198E5ED8F3B4}"/>
    <cellStyle name="Normal 4 4" xfId="126" xr:uid="{A96465DE-2411-44BF-A6A4-AE873B85A59F}"/>
    <cellStyle name="Normal 4 5" xfId="141" xr:uid="{7E423576-3215-4A2E-8F59-F79E698530B7}"/>
    <cellStyle name="Normal 5" xfId="107" xr:uid="{31FF60B3-C826-4F7E-BBE0-0AC33EF16D48}"/>
    <cellStyle name="Normal 5 2" xfId="108" xr:uid="{5E02D5AD-CBD6-464A-9D7B-C3CA50C33639}"/>
    <cellStyle name="Normal 5 3" xfId="1" xr:uid="{00000000-0005-0000-0000-000003000000}"/>
    <cellStyle name="Normal 5 4" xfId="114" xr:uid="{0B986F55-5586-43BD-9977-503613BDDBC6}"/>
    <cellStyle name="Normal 5 5" xfId="127" xr:uid="{919C20ED-82D8-4F58-BA71-0C84AEA55BF1}"/>
    <cellStyle name="Normal 6" xfId="109" xr:uid="{0903E804-E324-410D-91A4-DEE1603E8C21}"/>
    <cellStyle name="Normal 65 2" xfId="150" xr:uid="{DBF17B19-72EB-4018-AF97-8F7B567E519A}"/>
    <cellStyle name="Note" xfId="16" builtinId="10" customBuiltin="1"/>
    <cellStyle name="Note 2" xfId="79" xr:uid="{EEFE4694-D6BD-45C3-9883-B66196A224F5}"/>
    <cellStyle name="Output" xfId="11" builtinId="21" customBuiltin="1"/>
    <cellStyle name="Output 2" xfId="80" xr:uid="{0042CB23-6C08-4ECE-B67E-952F3585BCBC}"/>
    <cellStyle name="Percent 10" xfId="90" xr:uid="{AB323443-5DE2-4C1C-8991-9BE2BAC0FCB3}"/>
    <cellStyle name="Percent 11" xfId="91" xr:uid="{9AFA18A0-5685-4B8E-AE08-17EB785FBB23}"/>
    <cellStyle name="Percent 12" xfId="92" xr:uid="{D7CDA820-C399-4DEC-B6D8-A4B7828EF1A2}"/>
    <cellStyle name="Percent 2" xfId="39" xr:uid="{4980AFC7-4A7B-4126-B430-6736DE7BEAC6}"/>
    <cellStyle name="Percent 2 2" xfId="94" xr:uid="{2CFE679F-D667-478B-9AD1-C775C06BF1F7}"/>
    <cellStyle name="Percent 2 2 2" xfId="137" xr:uid="{52DCE22B-4A44-45D4-B1F2-85E42A6188A3}"/>
    <cellStyle name="Percent 2 2 3" xfId="138" xr:uid="{50CE3667-D05C-4C25-A9C0-141EAF1519F9}"/>
    <cellStyle name="Percent 2 2 4" xfId="139" xr:uid="{A79D94AB-B55E-4B14-87E2-D73C6DF4CCCD}"/>
    <cellStyle name="Percent 2 3" xfId="93" xr:uid="{429460F5-200F-4236-B50A-3DF4D3563624}"/>
    <cellStyle name="Percent 2 4" xfId="112" xr:uid="{F1319D3A-B650-4372-BD2C-20B4716B50DE}"/>
    <cellStyle name="Percent 2 5" xfId="130" xr:uid="{D7C1904B-39A2-492F-8A7A-52DAB92E9FAB}"/>
    <cellStyle name="Percent 2 6" xfId="140" xr:uid="{2D098389-ACA3-4D32-8927-453E338A5534}"/>
    <cellStyle name="Percent 3" xfId="95" xr:uid="{3658F4F6-7AC2-4085-979B-91A7993B0505}"/>
    <cellStyle name="Percent 4" xfId="96" xr:uid="{917AC4ED-297E-4F9F-8BC9-65821CB56097}"/>
    <cellStyle name="Percent 5" xfId="110" xr:uid="{27E282D8-F0A1-46CA-98AC-6C2C60828531}"/>
    <cellStyle name="Percent 6" xfId="97" xr:uid="{99F45B5E-6D73-4743-8EBF-C0C7A1B0CDD1}"/>
    <cellStyle name="Percent 7" xfId="98" xr:uid="{C19430B5-CA8F-4C42-887D-AB8F8D893939}"/>
    <cellStyle name="Percent 8" xfId="99" xr:uid="{D75B5359-0F3A-4099-A0E3-2C473DA109CB}"/>
    <cellStyle name="Percent 9" xfId="100" xr:uid="{63175EE0-E710-430C-938F-3EF80B198DFC}"/>
    <cellStyle name="Title 2" xfId="116" xr:uid="{D206D51C-EAF4-4F65-BC9A-6C44D204FB97}"/>
    <cellStyle name="Total" xfId="18" builtinId="25" customBuiltin="1"/>
    <cellStyle name="Total 2" xfId="81" xr:uid="{B32C0398-A268-49E9-AF94-9BE85A8AA841}"/>
    <cellStyle name="Warning Text" xfId="15" builtinId="11" customBuiltin="1"/>
    <cellStyle name="Warning Text 2" xfId="82" xr:uid="{C8EBB78B-A715-4E97-A66A-DA1CBE6B9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5004407</xdr:colOff>
      <xdr:row>1</xdr:row>
      <xdr:rowOff>59709</xdr:rowOff>
    </xdr:from>
    <xdr:to>
      <xdr:col>1</xdr:col>
      <xdr:colOff>6375710</xdr:colOff>
      <xdr:row>4</xdr:row>
      <xdr:rowOff>97100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3532" y="250209"/>
          <a:ext cx="1364318" cy="603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3369434</xdr:colOff>
      <xdr:row>3</xdr:row>
      <xdr:rowOff>142399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031" y="0"/>
          <a:ext cx="3369434" cy="681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SM/Piscataway/ContMgt/Payments/DPDP%20Distributor/4Q%202011/OC%20Approval%20Forms/BIO%204Q%202011%20Approval%20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Piscataway/ContMgt/Payments/DPDP%20Distributor/2012/1Q%202012/OC%20Approval%20Forms/BIO%201Q12%20Approval%20For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SM/Piscataway/ContMgt/Payments/Distributor%20Performance%20Payments/2012/3Q%202012/OC%20Approval%20Forms/BIO%203Q12%20Approval%20For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-my.sharepoint.com/SM/Piscataway/ContMgt/Payments/DPDP%20Distributor/2012/2Q%202012/OC%20Approval%20Forms/BIO%202Q12%20Approval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Sales Reported - No Payment"/>
      <sheetName val="DW CCPS Tie Out"/>
      <sheetName val="Trending"/>
      <sheetName val="Checklist"/>
    </sheetNames>
    <sheetDataSet>
      <sheetData sheetId="0"/>
      <sheetData sheetId="1"/>
      <sheetData sheetId="2">
        <row r="8">
          <cell r="A8" t="str">
            <v>Dist HQ#</v>
          </cell>
          <cell r="B8" t="str">
            <v>Distributor Name</v>
          </cell>
          <cell r="C8" t="str">
            <v>DW Total Sales</v>
          </cell>
        </row>
        <row r="9">
          <cell r="A9">
            <v>1217</v>
          </cell>
          <cell r="B9" t="str">
            <v>MMS-EAST</v>
          </cell>
          <cell r="C9">
            <v>751026.64580000006</v>
          </cell>
        </row>
        <row r="10">
          <cell r="A10">
            <v>1225</v>
          </cell>
          <cell r="B10" t="str">
            <v>HENRY SCHEIN INC</v>
          </cell>
          <cell r="C10">
            <v>379996.12</v>
          </cell>
        </row>
        <row r="11">
          <cell r="A11">
            <v>1246</v>
          </cell>
          <cell r="B11" t="str">
            <v>DARBY GROUP COMPANIES INC</v>
          </cell>
          <cell r="C11">
            <v>27499.759999999998</v>
          </cell>
        </row>
        <row r="12">
          <cell r="A12">
            <v>1274</v>
          </cell>
          <cell r="B12" t="str">
            <v>BUFFALO HOSPITAL SUP CO INC</v>
          </cell>
          <cell r="C12">
            <v>165689.16819999999</v>
          </cell>
        </row>
        <row r="13">
          <cell r="A13">
            <v>1361</v>
          </cell>
          <cell r="B13" t="str">
            <v>DEROYAL INDUSTRIES,INC</v>
          </cell>
          <cell r="C13">
            <v>19028.826799999999</v>
          </cell>
        </row>
        <row r="14">
          <cell r="A14">
            <v>1407</v>
          </cell>
          <cell r="B14" t="str">
            <v>CENTURION MEDICAL PRODUCTS</v>
          </cell>
          <cell r="C14">
            <v>1805986.9641</v>
          </cell>
        </row>
        <row r="15">
          <cell r="A15">
            <v>1916</v>
          </cell>
          <cell r="B15" t="str">
            <v>KREISERS INC SURGERY DIVISION</v>
          </cell>
          <cell r="C15">
            <v>65236.97</v>
          </cell>
        </row>
        <row r="16">
          <cell r="A16">
            <v>2042</v>
          </cell>
          <cell r="B16" t="str">
            <v>GULF SO MEDICAL SUPPLY</v>
          </cell>
          <cell r="C16">
            <v>29650.7081</v>
          </cell>
        </row>
        <row r="17">
          <cell r="A17">
            <v>2073</v>
          </cell>
          <cell r="B17" t="str">
            <v>DEKROYFT METZ &amp; CO</v>
          </cell>
          <cell r="C17">
            <v>66123.232499999998</v>
          </cell>
        </row>
        <row r="18">
          <cell r="A18">
            <v>2115</v>
          </cell>
          <cell r="B18" t="str">
            <v>CLAFLIN CO</v>
          </cell>
          <cell r="C18">
            <v>305410.4142</v>
          </cell>
        </row>
        <row r="19">
          <cell r="A19">
            <v>2123</v>
          </cell>
          <cell r="B19" t="str">
            <v>MOORE MEDICAL LLC</v>
          </cell>
          <cell r="C19">
            <v>2520.98</v>
          </cell>
        </row>
        <row r="20">
          <cell r="A20">
            <v>2139</v>
          </cell>
          <cell r="B20" t="str">
            <v>MOHAWK HOSPITAL EQUIP INC</v>
          </cell>
          <cell r="C20">
            <v>76991.412500000006</v>
          </cell>
        </row>
        <row r="21">
          <cell r="A21">
            <v>2163</v>
          </cell>
          <cell r="B21" t="str">
            <v>OWENS &amp; MINOR INC</v>
          </cell>
          <cell r="C21">
            <v>19713764.7766</v>
          </cell>
        </row>
        <row r="22">
          <cell r="A22">
            <v>2229</v>
          </cell>
          <cell r="B22" t="str">
            <v>GROGANS INC</v>
          </cell>
          <cell r="C22">
            <v>7788.4650000000001</v>
          </cell>
        </row>
        <row r="23">
          <cell r="A23">
            <v>2277</v>
          </cell>
          <cell r="B23" t="str">
            <v>MEDLINE INDUSTRIES B01</v>
          </cell>
          <cell r="C23">
            <v>3404009.8196</v>
          </cell>
        </row>
        <row r="24">
          <cell r="A24">
            <v>2291</v>
          </cell>
          <cell r="B24" t="str">
            <v>MIDWEST MEDICAL SUPPLY CO LLC</v>
          </cell>
          <cell r="C24">
            <v>177408.24249999999</v>
          </cell>
        </row>
        <row r="25">
          <cell r="A25">
            <v>3595</v>
          </cell>
          <cell r="B25" t="str">
            <v>SHARED SVCS</v>
          </cell>
          <cell r="C25">
            <v>89092.726599999995</v>
          </cell>
        </row>
        <row r="26">
          <cell r="A26">
            <v>18436</v>
          </cell>
          <cell r="B26" t="str">
            <v>PSS WORLD MEDICAL INC</v>
          </cell>
          <cell r="C26">
            <v>112273.97</v>
          </cell>
        </row>
        <row r="27">
          <cell r="A27">
            <v>20436</v>
          </cell>
          <cell r="B27" t="str">
            <v>MCKESSON MED-SURG INC</v>
          </cell>
          <cell r="C27">
            <v>324556.28110000002</v>
          </cell>
        </row>
        <row r="28">
          <cell r="A28">
            <v>25301</v>
          </cell>
          <cell r="B28" t="str">
            <v>PEARSON SUPPLY CO</v>
          </cell>
          <cell r="C28">
            <v>6371.62</v>
          </cell>
        </row>
        <row r="29">
          <cell r="A29">
            <v>25476</v>
          </cell>
          <cell r="B29" t="str">
            <v>CUSTOM STERILE PRODUCTS</v>
          </cell>
          <cell r="C29">
            <v>2093874.4236999999</v>
          </cell>
        </row>
        <row r="30">
          <cell r="A30">
            <v>25510</v>
          </cell>
          <cell r="B30" t="str">
            <v>H. D. SMITH WHOLESALE DRUG</v>
          </cell>
          <cell r="C30">
            <v>85136.031199999998</v>
          </cell>
        </row>
        <row r="31">
          <cell r="A31">
            <v>35002</v>
          </cell>
          <cell r="B31" t="str">
            <v>PHYSICIAN SALES &amp; SVC INC</v>
          </cell>
          <cell r="C31">
            <v>163120.72750000001</v>
          </cell>
        </row>
        <row r="32">
          <cell r="A32">
            <v>40759</v>
          </cell>
          <cell r="B32" t="str">
            <v>CHURCHILL MEDICAL SYSTEMS</v>
          </cell>
          <cell r="C32">
            <v>288895.84470000002</v>
          </cell>
        </row>
        <row r="33">
          <cell r="A33">
            <v>40883</v>
          </cell>
          <cell r="B33" t="str">
            <v>PROF HOSPITAL SUPPLY</v>
          </cell>
          <cell r="C33">
            <v>1820404.5744</v>
          </cell>
        </row>
        <row r="34">
          <cell r="A34">
            <v>45119</v>
          </cell>
          <cell r="B34" t="str">
            <v>BRIGGS CORPORATION</v>
          </cell>
          <cell r="C34">
            <v>694.57500000000005</v>
          </cell>
        </row>
        <row r="35">
          <cell r="A35">
            <v>45169</v>
          </cell>
          <cell r="B35" t="str">
            <v>MEDIKMARK INC</v>
          </cell>
          <cell r="C35">
            <v>262331.50829999999</v>
          </cell>
        </row>
        <row r="36">
          <cell r="A36">
            <v>45230</v>
          </cell>
          <cell r="B36" t="str">
            <v>MEDLINE CUSTOM STERILE</v>
          </cell>
          <cell r="C36">
            <v>1898693.5145</v>
          </cell>
        </row>
        <row r="37">
          <cell r="A37">
            <v>46878</v>
          </cell>
          <cell r="B37" t="str">
            <v>MEDICAL SPECIALITIES DISTRIBUTOR LL</v>
          </cell>
          <cell r="C37">
            <v>677629.15249999997</v>
          </cell>
        </row>
        <row r="38">
          <cell r="A38">
            <v>49201</v>
          </cell>
          <cell r="B38" t="str">
            <v>SENECA MEDICAL</v>
          </cell>
          <cell r="C38">
            <v>587354.11490000004</v>
          </cell>
        </row>
        <row r="39">
          <cell r="A39">
            <v>55290</v>
          </cell>
          <cell r="B39" t="str">
            <v>AERO MED LTD</v>
          </cell>
          <cell r="C39">
            <v>68552.170499999993</v>
          </cell>
        </row>
        <row r="40">
          <cell r="A40">
            <v>59644</v>
          </cell>
          <cell r="B40" t="str">
            <v>AMERICAN MEDICAL DEPOT</v>
          </cell>
          <cell r="C40">
            <v>9210.9599999999991</v>
          </cell>
        </row>
        <row r="41">
          <cell r="A41">
            <v>65120</v>
          </cell>
          <cell r="B41" t="str">
            <v>MERCY SURGERY DRESSING GROUP</v>
          </cell>
          <cell r="C41">
            <v>6334.7088999999996</v>
          </cell>
        </row>
        <row r="42">
          <cell r="A42">
            <v>67257</v>
          </cell>
          <cell r="B42" t="str">
            <v>NATIONAL DIST&amp;CONTRACTING INC</v>
          </cell>
          <cell r="C42">
            <v>34451.300000000003</v>
          </cell>
        </row>
        <row r="43">
          <cell r="A43">
            <v>69724</v>
          </cell>
          <cell r="B43" t="str">
            <v>HANNA MEDICAL CORP</v>
          </cell>
          <cell r="C43">
            <v>38009.620000000003</v>
          </cell>
        </row>
        <row r="44">
          <cell r="A44">
            <v>70086</v>
          </cell>
          <cell r="B44" t="str">
            <v>SUTURE EXPRESS</v>
          </cell>
          <cell r="C44">
            <v>1288889.81</v>
          </cell>
        </row>
        <row r="45">
          <cell r="A45">
            <v>71949</v>
          </cell>
          <cell r="B45" t="str">
            <v>AVID MEDICAL INC</v>
          </cell>
          <cell r="C45">
            <v>116448.8848</v>
          </cell>
        </row>
        <row r="46">
          <cell r="A46">
            <v>77021</v>
          </cell>
          <cell r="B46" t="str">
            <v>HOME HEALTHCARE SOLUTIONS</v>
          </cell>
          <cell r="C46">
            <v>757.08770000000004</v>
          </cell>
        </row>
        <row r="47">
          <cell r="A47">
            <v>95216</v>
          </cell>
          <cell r="B47" t="str">
            <v>CARDINAL HEALTH MPS</v>
          </cell>
          <cell r="C47">
            <v>13611588.549000001</v>
          </cell>
        </row>
        <row r="48">
          <cell r="A48">
            <v>98129</v>
          </cell>
          <cell r="B48" t="str">
            <v>CARDINAL HEALTH INC</v>
          </cell>
          <cell r="C48">
            <v>5682539.1500000004</v>
          </cell>
        </row>
        <row r="49">
          <cell r="A49">
            <v>121695</v>
          </cell>
          <cell r="B49" t="str">
            <v>MCKESSON MEDICAL-SURGICAL</v>
          </cell>
          <cell r="C49">
            <v>26359.125599999999</v>
          </cell>
        </row>
        <row r="50">
          <cell r="A50">
            <v>278833</v>
          </cell>
          <cell r="B50" t="str">
            <v>MEDICAL ACTION INDUSTRIES</v>
          </cell>
          <cell r="C50">
            <v>2940767.0613000002</v>
          </cell>
        </row>
        <row r="51">
          <cell r="A51">
            <v>283432</v>
          </cell>
          <cell r="B51" t="str">
            <v>RGH ENTERPRISES</v>
          </cell>
          <cell r="C51">
            <v>27377.592499999999</v>
          </cell>
        </row>
        <row r="52">
          <cell r="A52">
            <v>418521</v>
          </cell>
          <cell r="B52" t="str">
            <v>LSL INDUSTRIES INC</v>
          </cell>
          <cell r="C52">
            <v>311085.26750000002</v>
          </cell>
        </row>
        <row r="53">
          <cell r="A53">
            <v>1078056</v>
          </cell>
          <cell r="B53" t="str">
            <v>FIRST CHOICE MEDICAL SUPPLY</v>
          </cell>
          <cell r="C53">
            <v>972.40499999999997</v>
          </cell>
        </row>
        <row r="54">
          <cell r="A54">
            <v>1155771</v>
          </cell>
          <cell r="B54" t="str">
            <v>MEDICA PRODUCTS AND SERVICES INC</v>
          </cell>
          <cell r="C54">
            <v>9410.7824999999993</v>
          </cell>
        </row>
        <row r="55">
          <cell r="A55">
            <v>1992</v>
          </cell>
          <cell r="B55" t="str">
            <v>P L RIDER CO</v>
          </cell>
          <cell r="C55">
            <v>3609.46</v>
          </cell>
        </row>
        <row r="56">
          <cell r="A56">
            <v>1993</v>
          </cell>
          <cell r="B56" t="str">
            <v>INVACARE SUPPLY GROUP</v>
          </cell>
          <cell r="C56">
            <v>19378.642500000002</v>
          </cell>
        </row>
        <row r="57">
          <cell r="A57">
            <v>14570</v>
          </cell>
          <cell r="B57" t="str">
            <v>MCKESSON HOSPITAL &amp; ALTERNATE</v>
          </cell>
          <cell r="C57">
            <v>4348024.5284000002</v>
          </cell>
        </row>
        <row r="58">
          <cell r="A58">
            <v>18395</v>
          </cell>
          <cell r="B58" t="str">
            <v>BYRAM HEALTHCARE CTRS INC</v>
          </cell>
          <cell r="C58">
            <v>479.2568</v>
          </cell>
        </row>
        <row r="59">
          <cell r="A59">
            <v>26096</v>
          </cell>
          <cell r="B59" t="str">
            <v>MIDLAND MED SUPPLY CO</v>
          </cell>
          <cell r="C59">
            <v>6895.3638000000001</v>
          </cell>
        </row>
        <row r="60">
          <cell r="A60">
            <v>31449</v>
          </cell>
          <cell r="B60" t="str">
            <v>MORRIS &amp; DICKSON CO LTD</v>
          </cell>
          <cell r="C60">
            <v>405147.16</v>
          </cell>
        </row>
        <row r="61">
          <cell r="A61">
            <v>61381</v>
          </cell>
          <cell r="B61" t="str">
            <v>BERGEN BRUNSWIG DRUG</v>
          </cell>
          <cell r="C61">
            <v>2790.93</v>
          </cell>
        </row>
        <row r="62">
          <cell r="A62">
            <v>95035</v>
          </cell>
          <cell r="B62" t="str">
            <v>AMERISOURCE CORP</v>
          </cell>
          <cell r="C62">
            <v>1511.4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DW CCPS Tie Out"/>
      <sheetName val="Sales Reported - No Payment"/>
      <sheetName val="Checklist"/>
    </sheetNames>
    <sheetDataSet>
      <sheetData sheetId="0"/>
      <sheetData sheetId="1">
        <row r="9">
          <cell r="A9">
            <v>55290</v>
          </cell>
          <cell r="B9" t="str">
            <v>AERO MED LTD</v>
          </cell>
          <cell r="C9">
            <v>84129.319199999998</v>
          </cell>
        </row>
        <row r="10">
          <cell r="A10">
            <v>1274</v>
          </cell>
          <cell r="B10" t="str">
            <v>BUFFALO HOSPITAL SUP CO INC</v>
          </cell>
          <cell r="C10">
            <v>182260.77549999999</v>
          </cell>
        </row>
        <row r="11">
          <cell r="A11">
            <v>59644</v>
          </cell>
          <cell r="B11" t="str">
            <v>AMERICAN MEDICAL DEPOT</v>
          </cell>
          <cell r="C11">
            <v>25092.720000000001</v>
          </cell>
        </row>
        <row r="12">
          <cell r="A12">
            <v>71949</v>
          </cell>
          <cell r="B12" t="str">
            <v>AVID MEDICAL INC</v>
          </cell>
          <cell r="C12">
            <v>135237.84400000001</v>
          </cell>
        </row>
        <row r="13">
          <cell r="A13">
            <v>46878</v>
          </cell>
          <cell r="B13" t="str">
            <v>MEDICAL SPECIALITIES DISTRIBUTOR LL</v>
          </cell>
          <cell r="C13">
            <v>651936.65</v>
          </cell>
        </row>
        <row r="14">
          <cell r="A14">
            <v>45169</v>
          </cell>
          <cell r="B14" t="str">
            <v>MEDIKMARK INC</v>
          </cell>
          <cell r="C14">
            <v>285462.40019999997</v>
          </cell>
        </row>
        <row r="15">
          <cell r="A15">
            <v>45119</v>
          </cell>
          <cell r="B15" t="str">
            <v>BRIGGS CORPORATION</v>
          </cell>
          <cell r="C15">
            <v>69.457499999999996</v>
          </cell>
        </row>
        <row r="16">
          <cell r="A16">
            <v>2277</v>
          </cell>
          <cell r="B16" t="str">
            <v>MEDLINE INDUSTRIES B01</v>
          </cell>
          <cell r="C16">
            <v>3427925.5366000002</v>
          </cell>
        </row>
        <row r="17">
          <cell r="A17">
            <v>95216</v>
          </cell>
          <cell r="B17" t="str">
            <v>CARDINAL HEALTH MPS</v>
          </cell>
          <cell r="C17">
            <v>12397155.264599999</v>
          </cell>
        </row>
        <row r="18">
          <cell r="A18">
            <v>45230</v>
          </cell>
          <cell r="B18" t="str">
            <v>MEDLINE CUSTOM STERILE</v>
          </cell>
          <cell r="C18">
            <v>1812951.4728000001</v>
          </cell>
        </row>
        <row r="19">
          <cell r="A19">
            <v>65120</v>
          </cell>
          <cell r="B19" t="str">
            <v>MERCY SURGERY DRESSING GROUP</v>
          </cell>
          <cell r="C19">
            <v>6824.1841999999997</v>
          </cell>
        </row>
        <row r="20">
          <cell r="A20">
            <v>2291</v>
          </cell>
          <cell r="B20" t="str">
            <v>MIDWEST MEDICAL SUPPLY CO LLC</v>
          </cell>
          <cell r="C20">
            <v>147188.4975</v>
          </cell>
        </row>
        <row r="21">
          <cell r="A21">
            <v>2139</v>
          </cell>
          <cell r="B21" t="str">
            <v>MOHAWK HOSPITAL EQUIP INC</v>
          </cell>
          <cell r="C21">
            <v>80938.854999999996</v>
          </cell>
        </row>
        <row r="22">
          <cell r="A22">
            <v>25476</v>
          </cell>
          <cell r="B22" t="str">
            <v>CUSTOM STERILE PRODUCTS</v>
          </cell>
          <cell r="C22">
            <v>1924140.8864</v>
          </cell>
        </row>
        <row r="23">
          <cell r="A23">
            <v>67257</v>
          </cell>
          <cell r="B23" t="str">
            <v>NATIONAL DIST&amp;CONTRACTING INC</v>
          </cell>
          <cell r="C23">
            <v>63947.13</v>
          </cell>
        </row>
        <row r="24">
          <cell r="A24">
            <v>2163</v>
          </cell>
          <cell r="B24" t="str">
            <v>OWENS &amp; MINOR INC</v>
          </cell>
          <cell r="C24">
            <v>20467120.942600001</v>
          </cell>
        </row>
        <row r="25">
          <cell r="A25">
            <v>1407</v>
          </cell>
          <cell r="B25" t="str">
            <v>CENTURION MEDICAL PRODUCTS</v>
          </cell>
          <cell r="C25">
            <v>1861570.5767999999</v>
          </cell>
        </row>
        <row r="26">
          <cell r="A26">
            <v>40759</v>
          </cell>
          <cell r="B26" t="str">
            <v>CHURCHILL MEDICAL SYSTEMS</v>
          </cell>
          <cell r="C26">
            <v>263113.15460000001</v>
          </cell>
        </row>
        <row r="27">
          <cell r="A27">
            <v>2115</v>
          </cell>
          <cell r="B27" t="str">
            <v>CLAFLIN CO</v>
          </cell>
          <cell r="C27">
            <v>347138.90019999997</v>
          </cell>
        </row>
        <row r="28">
          <cell r="A28">
            <v>1246</v>
          </cell>
          <cell r="B28" t="str">
            <v>DARBY GROUP COMPANIES INC</v>
          </cell>
          <cell r="C28">
            <v>34065.879999999997</v>
          </cell>
        </row>
        <row r="29">
          <cell r="A29">
            <v>35002</v>
          </cell>
          <cell r="B29" t="str">
            <v>PHYSICIAN SALES &amp; SVC INC</v>
          </cell>
          <cell r="C29">
            <v>200208.97500000001</v>
          </cell>
        </row>
        <row r="30">
          <cell r="A30">
            <v>2073</v>
          </cell>
          <cell r="B30" t="str">
            <v>DEKROYFT METZ &amp; CO</v>
          </cell>
          <cell r="C30">
            <v>84511.727499999994</v>
          </cell>
        </row>
        <row r="31">
          <cell r="A31">
            <v>1361</v>
          </cell>
          <cell r="B31" t="str">
            <v>DEROYAL INDUSTRIES,INC</v>
          </cell>
          <cell r="C31">
            <v>29262.421200000001</v>
          </cell>
        </row>
        <row r="32">
          <cell r="A32">
            <v>1078056</v>
          </cell>
          <cell r="B32" t="str">
            <v>FIRST CHOICE MEDICAL SUPPLY</v>
          </cell>
          <cell r="C32">
            <v>2737.0524999999998</v>
          </cell>
        </row>
        <row r="33">
          <cell r="A33">
            <v>2042</v>
          </cell>
          <cell r="B33" t="str">
            <v>GULF SO MEDICAL SUPPLY</v>
          </cell>
          <cell r="C33">
            <v>31077.017800000001</v>
          </cell>
        </row>
        <row r="34">
          <cell r="A34">
            <v>69724</v>
          </cell>
          <cell r="B34" t="str">
            <v>HANNA MEDICAL CORP</v>
          </cell>
          <cell r="C34">
            <v>31674.23</v>
          </cell>
        </row>
        <row r="35">
          <cell r="A35">
            <v>25510</v>
          </cell>
          <cell r="B35" t="str">
            <v>H. D. SMITH WHOLESALE DRUG</v>
          </cell>
          <cell r="C35">
            <v>106557.7448</v>
          </cell>
        </row>
        <row r="36">
          <cell r="A36">
            <v>1225</v>
          </cell>
          <cell r="B36" t="str">
            <v>HENRY SCHEIN INC</v>
          </cell>
          <cell r="C36">
            <v>372321.02120000002</v>
          </cell>
        </row>
        <row r="37">
          <cell r="A37">
            <v>1993</v>
          </cell>
          <cell r="B37" t="str">
            <v>INVACARE SUPPLY GROUP</v>
          </cell>
          <cell r="C37">
            <v>278181.48499999999</v>
          </cell>
        </row>
        <row r="38">
          <cell r="A38">
            <v>1916</v>
          </cell>
          <cell r="B38" t="str">
            <v>KREISERS INC SURGERY DIVISION</v>
          </cell>
          <cell r="C38">
            <v>67187.58</v>
          </cell>
        </row>
        <row r="39">
          <cell r="A39">
            <v>418521</v>
          </cell>
          <cell r="B39" t="str">
            <v>LSL INDUSTRIES INC</v>
          </cell>
          <cell r="C39">
            <v>1026814.6721</v>
          </cell>
        </row>
        <row r="40">
          <cell r="A40">
            <v>20436</v>
          </cell>
          <cell r="B40" t="str">
            <v>MCKESSON MED-SURG INC</v>
          </cell>
          <cell r="C40">
            <v>323524.64669999998</v>
          </cell>
        </row>
        <row r="41">
          <cell r="A41">
            <v>278833</v>
          </cell>
          <cell r="B41" t="str">
            <v>MEDICAL ACTION INDUSTRIES</v>
          </cell>
          <cell r="C41">
            <v>2840884.4622</v>
          </cell>
        </row>
        <row r="42">
          <cell r="A42">
            <v>40883</v>
          </cell>
          <cell r="B42" t="str">
            <v>PROF HOSPITAL SUPPLY</v>
          </cell>
          <cell r="C42">
            <v>1914671.6562999999</v>
          </cell>
        </row>
        <row r="43">
          <cell r="A43">
            <v>283432</v>
          </cell>
          <cell r="B43" t="str">
            <v>RGH ENTERPRISES</v>
          </cell>
          <cell r="C43">
            <v>18007.215</v>
          </cell>
        </row>
        <row r="44">
          <cell r="A44">
            <v>49201</v>
          </cell>
          <cell r="B44" t="str">
            <v>SENECA MEDICAL</v>
          </cell>
          <cell r="C44">
            <v>643473.56709999999</v>
          </cell>
        </row>
        <row r="45">
          <cell r="A45">
            <v>3595</v>
          </cell>
          <cell r="B45" t="str">
            <v>SHARED SVCS</v>
          </cell>
          <cell r="C45">
            <v>87467.513000000006</v>
          </cell>
        </row>
        <row r="46">
          <cell r="A46">
            <v>18436</v>
          </cell>
          <cell r="B46" t="str">
            <v>PSS WORLD MEDICAL INC</v>
          </cell>
          <cell r="C46">
            <v>88650.824999999997</v>
          </cell>
        </row>
        <row r="47">
          <cell r="A47">
            <v>70086</v>
          </cell>
          <cell r="B47" t="str">
            <v>SUTURE EXPRESS</v>
          </cell>
          <cell r="C47">
            <v>1493484.29</v>
          </cell>
        </row>
        <row r="48">
          <cell r="A48">
            <v>121695</v>
          </cell>
          <cell r="B48" t="str">
            <v>MCKESSON MEDICAL-SURGICAL</v>
          </cell>
          <cell r="C48">
            <v>32391.6204</v>
          </cell>
        </row>
        <row r="49">
          <cell r="A49">
            <v>1155771</v>
          </cell>
          <cell r="B49" t="str">
            <v>MEDICA PRODUCTS AND SERVICES INC</v>
          </cell>
          <cell r="C49">
            <v>10920.19</v>
          </cell>
        </row>
        <row r="50">
          <cell r="A50">
            <v>1217</v>
          </cell>
          <cell r="B50" t="str">
            <v>MMS-EAST</v>
          </cell>
          <cell r="C50">
            <v>676166.76179999998</v>
          </cell>
        </row>
        <row r="51">
          <cell r="A51">
            <v>2123</v>
          </cell>
          <cell r="B51" t="str">
            <v>MOORE MEDICAL LLC</v>
          </cell>
          <cell r="C51">
            <v>673.995</v>
          </cell>
        </row>
        <row r="52">
          <cell r="A52">
            <v>77021</v>
          </cell>
          <cell r="B52" t="str">
            <v>HOME HEALTHCARE SOLUTIONS</v>
          </cell>
          <cell r="C52">
            <v>1003.3189</v>
          </cell>
        </row>
        <row r="53">
          <cell r="A53">
            <v>98129</v>
          </cell>
          <cell r="B53" t="str">
            <v>CARDINAL HEALTH INC</v>
          </cell>
          <cell r="C53">
            <v>3874129.06</v>
          </cell>
        </row>
        <row r="54">
          <cell r="A54">
            <v>2229</v>
          </cell>
          <cell r="B54" t="str">
            <v>GROGANS INC</v>
          </cell>
          <cell r="C54">
            <v>7996.835</v>
          </cell>
        </row>
        <row r="55">
          <cell r="A55">
            <v>25301</v>
          </cell>
          <cell r="B55" t="str">
            <v>PEARSON SUPPLY CO</v>
          </cell>
          <cell r="C55">
            <v>8140.19</v>
          </cell>
        </row>
        <row r="56">
          <cell r="A56">
            <v>31449</v>
          </cell>
          <cell r="B56" t="str">
            <v>MORRIS &amp; DICKSON CO LTD</v>
          </cell>
          <cell r="C56">
            <v>414730.86249999999</v>
          </cell>
        </row>
        <row r="57">
          <cell r="A57">
            <v>14570</v>
          </cell>
          <cell r="B57" t="str">
            <v>MCKESSON HOSPITAL &amp; ALTERNATE</v>
          </cell>
          <cell r="C57">
            <v>4519945.2479999997</v>
          </cell>
        </row>
        <row r="58">
          <cell r="A58">
            <v>18224</v>
          </cell>
          <cell r="B58" t="str">
            <v>VICTOR MEDICAL CO</v>
          </cell>
          <cell r="C58">
            <v>1865.18</v>
          </cell>
        </row>
        <row r="59">
          <cell r="A59">
            <v>18395</v>
          </cell>
          <cell r="B59" t="str">
            <v>BYRAM HEALTHCARE CTRS INC</v>
          </cell>
          <cell r="C59">
            <v>1466.17</v>
          </cell>
        </row>
        <row r="60">
          <cell r="A60">
            <v>26096</v>
          </cell>
          <cell r="B60" t="str">
            <v>MIDLAND MED SUPPLY CO</v>
          </cell>
          <cell r="C60">
            <v>8149.8247000000001</v>
          </cell>
        </row>
        <row r="61">
          <cell r="A61">
            <v>60020</v>
          </cell>
          <cell r="B61" t="str">
            <v>OMNI MEDICAL SUPPLY INC</v>
          </cell>
          <cell r="C61">
            <v>911.00750000000005</v>
          </cell>
        </row>
        <row r="62">
          <cell r="A62">
            <v>95035</v>
          </cell>
          <cell r="B62" t="str">
            <v>AMERISOURCE CORP</v>
          </cell>
          <cell r="C62">
            <v>0</v>
          </cell>
        </row>
        <row r="63">
          <cell r="A63">
            <v>159339</v>
          </cell>
          <cell r="B63" t="str">
            <v>TRINITY STERILE INC</v>
          </cell>
          <cell r="C63">
            <v>59231.290800000002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Sales Reported - No Payment"/>
      <sheetName val="Checklist"/>
      <sheetName val="BIO 3q12"/>
      <sheetName val="BIO 2Q12"/>
      <sheetName val="BIO 1Q12"/>
    </sheetNames>
    <sheetDataSet>
      <sheetData sheetId="0"/>
      <sheetData sheetId="1"/>
      <sheetData sheetId="2"/>
      <sheetData sheetId="3">
        <row r="8">
          <cell r="A8" t="str">
            <v>Dist HQ#</v>
          </cell>
          <cell r="B8" t="str">
            <v>Distributor Name</v>
          </cell>
          <cell r="C8" t="str">
            <v>DW Total Sales</v>
          </cell>
          <cell r="D8" t="str">
            <v>CCPS Total Sales</v>
          </cell>
        </row>
        <row r="9">
          <cell r="A9">
            <v>55290</v>
          </cell>
          <cell r="B9" t="str">
            <v>AERO MED LTD</v>
          </cell>
          <cell r="C9">
            <v>84511.146699999998</v>
          </cell>
          <cell r="D9">
            <v>84511.146699999998</v>
          </cell>
        </row>
        <row r="10">
          <cell r="A10">
            <v>18988</v>
          </cell>
          <cell r="B10" t="str">
            <v>AMER MEDICAL SUPP &amp; EQUIP</v>
          </cell>
          <cell r="C10">
            <v>3932.2</v>
          </cell>
          <cell r="D10">
            <v>3932.2</v>
          </cell>
        </row>
        <row r="11">
          <cell r="A11">
            <v>59644</v>
          </cell>
          <cell r="B11" t="str">
            <v>AMERICAN MEDICAL DEPOT</v>
          </cell>
          <cell r="C11">
            <v>17789.22</v>
          </cell>
          <cell r="D11">
            <v>17789.22</v>
          </cell>
        </row>
        <row r="12">
          <cell r="A12">
            <v>71949</v>
          </cell>
          <cell r="B12" t="str">
            <v>AVID MEDICAL INC</v>
          </cell>
          <cell r="C12">
            <v>194552.3069</v>
          </cell>
          <cell r="D12">
            <v>194552.3069</v>
          </cell>
        </row>
        <row r="13">
          <cell r="A13">
            <v>1274</v>
          </cell>
          <cell r="B13" t="str">
            <v>BUFFALO HOSPITAL SUP CO INC</v>
          </cell>
          <cell r="C13">
            <v>212613.50330000001</v>
          </cell>
          <cell r="D13">
            <v>212613.50330000001</v>
          </cell>
        </row>
        <row r="14">
          <cell r="A14">
            <v>18395</v>
          </cell>
          <cell r="B14" t="str">
            <v>BYRAM HEALTHCARE CTRS INC</v>
          </cell>
          <cell r="C14">
            <v>2229.9423999999999</v>
          </cell>
          <cell r="D14">
            <v>2229.9423999999999</v>
          </cell>
        </row>
        <row r="15">
          <cell r="A15">
            <v>98129</v>
          </cell>
          <cell r="B15" t="str">
            <v>CARDINAL HEALTH INC</v>
          </cell>
          <cell r="C15">
            <v>4198771.1500000004</v>
          </cell>
          <cell r="D15">
            <v>4198771.1500000004</v>
          </cell>
        </row>
        <row r="16">
          <cell r="A16">
            <v>95216</v>
          </cell>
          <cell r="B16" t="str">
            <v>CARDINAL HEALTH MPS</v>
          </cell>
          <cell r="C16">
            <v>13409456.6392</v>
          </cell>
          <cell r="D16">
            <v>13409456.6392</v>
          </cell>
        </row>
        <row r="17">
          <cell r="A17">
            <v>1407</v>
          </cell>
          <cell r="B17" t="str">
            <v>CENTURION MEDICAL PRODUCTS</v>
          </cell>
          <cell r="C17">
            <v>1279187.4463</v>
          </cell>
          <cell r="D17">
            <v>1279187.4463</v>
          </cell>
        </row>
        <row r="18">
          <cell r="A18">
            <v>40759</v>
          </cell>
          <cell r="B18" t="str">
            <v>CHURCHILL MEDICAL SYSTEMS</v>
          </cell>
          <cell r="C18">
            <v>227180.66140000001</v>
          </cell>
          <cell r="D18">
            <v>227180.66140000001</v>
          </cell>
        </row>
        <row r="19">
          <cell r="A19">
            <v>2115</v>
          </cell>
          <cell r="B19" t="str">
            <v>CLAFLIN CO</v>
          </cell>
          <cell r="C19">
            <v>298969.46220000001</v>
          </cell>
          <cell r="D19">
            <v>298969.46220000001</v>
          </cell>
        </row>
        <row r="20">
          <cell r="A20">
            <v>25476</v>
          </cell>
          <cell r="B20" t="str">
            <v>CUSTOM STERILE PRODUCTS</v>
          </cell>
          <cell r="C20">
            <v>3095566.1505</v>
          </cell>
          <cell r="D20">
            <v>3095566.1505</v>
          </cell>
        </row>
        <row r="21">
          <cell r="A21">
            <v>1246</v>
          </cell>
          <cell r="B21" t="str">
            <v>DARBY GROUP COMPANIES INC</v>
          </cell>
          <cell r="C21">
            <v>31252.16</v>
          </cell>
          <cell r="D21">
            <v>31252.16</v>
          </cell>
        </row>
        <row r="22">
          <cell r="A22">
            <v>2073</v>
          </cell>
          <cell r="B22" t="str">
            <v>DEKROYFT METZ &amp; CO</v>
          </cell>
          <cell r="C22">
            <v>112214.24249999999</v>
          </cell>
          <cell r="D22">
            <v>112214.24249999999</v>
          </cell>
        </row>
        <row r="23">
          <cell r="A23">
            <v>1361</v>
          </cell>
          <cell r="B23" t="str">
            <v>DEROYAL INDUSTRIES,INC</v>
          </cell>
          <cell r="C23">
            <v>16381.8727</v>
          </cell>
          <cell r="D23">
            <v>16381.8727</v>
          </cell>
        </row>
        <row r="24">
          <cell r="A24">
            <v>1078056</v>
          </cell>
          <cell r="B24" t="str">
            <v>FIRST CHOICE MEDICAL SUPPLY</v>
          </cell>
          <cell r="C24">
            <v>8376.5771000000004</v>
          </cell>
          <cell r="D24">
            <v>8376.5771000000004</v>
          </cell>
        </row>
        <row r="25">
          <cell r="A25">
            <v>2229</v>
          </cell>
          <cell r="B25" t="str">
            <v>GROGANS INC</v>
          </cell>
          <cell r="C25">
            <v>12436.49</v>
          </cell>
          <cell r="D25">
            <v>12436.49</v>
          </cell>
        </row>
        <row r="26">
          <cell r="A26">
            <v>2042</v>
          </cell>
          <cell r="B26" t="str">
            <v>GULF SO MEDICAL SUPPLY</v>
          </cell>
          <cell r="C26">
            <v>29665.064200000001</v>
          </cell>
          <cell r="D26">
            <v>29665.064200000001</v>
          </cell>
        </row>
        <row r="27">
          <cell r="A27">
            <v>25510</v>
          </cell>
          <cell r="B27" t="str">
            <v>H. D. SMITH WHOLESALE DRUG</v>
          </cell>
          <cell r="C27">
            <v>59163.812100000003</v>
          </cell>
          <cell r="D27">
            <v>59163.812100000003</v>
          </cell>
        </row>
        <row r="28">
          <cell r="A28">
            <v>69724</v>
          </cell>
          <cell r="B28" t="str">
            <v>HANNA MEDICAL CORP</v>
          </cell>
          <cell r="C28">
            <v>16468.71</v>
          </cell>
          <cell r="D28">
            <v>16468.71</v>
          </cell>
        </row>
        <row r="29">
          <cell r="A29">
            <v>1225</v>
          </cell>
          <cell r="B29" t="str">
            <v>HENRY SCHEIN INC</v>
          </cell>
          <cell r="C29">
            <v>378934.43569999997</v>
          </cell>
          <cell r="D29">
            <v>378934.43569999997</v>
          </cell>
        </row>
        <row r="30">
          <cell r="A30">
            <v>77021</v>
          </cell>
          <cell r="B30" t="str">
            <v>HOME HEALTHCARE SOLUTIONS</v>
          </cell>
          <cell r="C30">
            <v>1600.9863</v>
          </cell>
          <cell r="D30">
            <v>1600.9863</v>
          </cell>
        </row>
        <row r="31">
          <cell r="A31">
            <v>1993</v>
          </cell>
          <cell r="B31" t="str">
            <v>INVACARE SUPPLY GROUP</v>
          </cell>
          <cell r="C31">
            <v>106604.9375</v>
          </cell>
          <cell r="D31">
            <v>106604.9375</v>
          </cell>
        </row>
        <row r="32">
          <cell r="A32">
            <v>1916</v>
          </cell>
          <cell r="B32" t="str">
            <v>KREISERS INC SURGERY DIVISION</v>
          </cell>
          <cell r="C32">
            <v>74847.157500000001</v>
          </cell>
          <cell r="D32">
            <v>74847.157500000001</v>
          </cell>
        </row>
        <row r="33">
          <cell r="A33">
            <v>418521</v>
          </cell>
          <cell r="B33" t="str">
            <v>LSL INDUSTRIES INC</v>
          </cell>
          <cell r="C33">
            <v>758442.49600000004</v>
          </cell>
          <cell r="D33">
            <v>758442.49600000004</v>
          </cell>
        </row>
        <row r="34">
          <cell r="A34">
            <v>14570</v>
          </cell>
          <cell r="B34" t="str">
            <v>MCKESSON HOSPITAL &amp; ALTERNATE</v>
          </cell>
          <cell r="C34">
            <v>5591427.1078000003</v>
          </cell>
          <cell r="D34">
            <v>5591427.1078000003</v>
          </cell>
        </row>
        <row r="35">
          <cell r="A35">
            <v>121695</v>
          </cell>
          <cell r="B35" t="str">
            <v>MCKESSON MEDICAL-SURGICAL</v>
          </cell>
          <cell r="C35">
            <v>38654.902499999997</v>
          </cell>
          <cell r="D35">
            <v>38654.902499999997</v>
          </cell>
        </row>
        <row r="36">
          <cell r="A36">
            <v>20436</v>
          </cell>
          <cell r="B36" t="str">
            <v>MCKESSON MED-SURG INC</v>
          </cell>
          <cell r="C36">
            <v>332486.6103</v>
          </cell>
          <cell r="D36">
            <v>332486.6103</v>
          </cell>
        </row>
        <row r="37">
          <cell r="A37">
            <v>1155771</v>
          </cell>
          <cell r="B37" t="str">
            <v>MEDICA PRODUCTS AND SERVICES INC</v>
          </cell>
          <cell r="C37">
            <v>7996.18</v>
          </cell>
          <cell r="D37">
            <v>7996.18</v>
          </cell>
        </row>
        <row r="38">
          <cell r="A38">
            <v>278833</v>
          </cell>
          <cell r="B38" t="str">
            <v>MEDICAL ACTION INDUSTRIES</v>
          </cell>
          <cell r="C38">
            <v>2192744.7407999998</v>
          </cell>
          <cell r="D38">
            <v>2192744.7407999998</v>
          </cell>
        </row>
        <row r="39">
          <cell r="A39">
            <v>46878</v>
          </cell>
          <cell r="B39" t="str">
            <v>MEDICAL SPECIALITIES DISTRIBUTOR LL</v>
          </cell>
          <cell r="C39">
            <v>658957.34250000003</v>
          </cell>
          <cell r="D39">
            <v>658957.34250000003</v>
          </cell>
        </row>
        <row r="40">
          <cell r="A40">
            <v>45169</v>
          </cell>
          <cell r="B40" t="str">
            <v>MEDIKMARK INC</v>
          </cell>
          <cell r="C40">
            <v>203696.5839</v>
          </cell>
          <cell r="D40">
            <v>203696.5839</v>
          </cell>
        </row>
        <row r="41">
          <cell r="A41">
            <v>45230</v>
          </cell>
          <cell r="B41" t="str">
            <v>MEDLINE CUSTOM STERILE</v>
          </cell>
          <cell r="C41">
            <v>1881604.3114</v>
          </cell>
          <cell r="D41">
            <v>1881604.3114</v>
          </cell>
        </row>
        <row r="42">
          <cell r="A42">
            <v>2277</v>
          </cell>
          <cell r="B42" t="str">
            <v>MEDLINE INDUSTRIES B01</v>
          </cell>
          <cell r="C42">
            <v>3797075.1516999998</v>
          </cell>
          <cell r="D42">
            <v>3797075.1516999998</v>
          </cell>
        </row>
        <row r="43">
          <cell r="A43">
            <v>65120</v>
          </cell>
          <cell r="B43" t="str">
            <v>MERCY SURGERY DRESSING GROUP</v>
          </cell>
          <cell r="C43">
            <v>12991.956200000001</v>
          </cell>
          <cell r="D43">
            <v>12991.956200000001</v>
          </cell>
        </row>
        <row r="44">
          <cell r="A44">
            <v>26096</v>
          </cell>
          <cell r="B44" t="str">
            <v>MIDLAND MED SUPPLY CO</v>
          </cell>
          <cell r="C44">
            <v>6439.3810000000003</v>
          </cell>
          <cell r="D44">
            <v>6439.3810000000003</v>
          </cell>
        </row>
        <row r="45">
          <cell r="A45">
            <v>2291</v>
          </cell>
          <cell r="B45" t="str">
            <v>MIDWEST MEDICAL SUPPLY CO LLC</v>
          </cell>
          <cell r="C45">
            <v>841776.84</v>
          </cell>
          <cell r="D45">
            <v>841776.84</v>
          </cell>
        </row>
        <row r="46">
          <cell r="A46">
            <v>2139</v>
          </cell>
          <cell r="B46" t="str">
            <v>MOHAWK HOSPITAL EQUIP INC</v>
          </cell>
          <cell r="C46">
            <v>97623.77</v>
          </cell>
          <cell r="D46">
            <v>97623.77</v>
          </cell>
        </row>
        <row r="47">
          <cell r="A47">
            <v>2123</v>
          </cell>
          <cell r="B47" t="str">
            <v>MOORE MEDICAL LLC</v>
          </cell>
          <cell r="C47">
            <v>1438.325</v>
          </cell>
          <cell r="D47">
            <v>1438.325</v>
          </cell>
        </row>
        <row r="48">
          <cell r="A48">
            <v>31449</v>
          </cell>
          <cell r="B48" t="str">
            <v>MORRIS &amp; DICKSON CO LTD</v>
          </cell>
          <cell r="C48">
            <v>420508.22</v>
          </cell>
          <cell r="D48">
            <v>420508.22</v>
          </cell>
        </row>
        <row r="49">
          <cell r="A49">
            <v>67257</v>
          </cell>
          <cell r="B49" t="str">
            <v>NATIONAL DIST&amp;CONTRACTING INC</v>
          </cell>
          <cell r="C49">
            <v>44563.54</v>
          </cell>
          <cell r="D49">
            <v>44563.54</v>
          </cell>
        </row>
        <row r="50">
          <cell r="A50">
            <v>60020</v>
          </cell>
          <cell r="B50" t="str">
            <v>OMNI MEDICAL SUPPLY INC</v>
          </cell>
          <cell r="C50">
            <v>214.41749999999999</v>
          </cell>
          <cell r="D50">
            <v>214.41749999999999</v>
          </cell>
        </row>
        <row r="51">
          <cell r="A51">
            <v>2163</v>
          </cell>
          <cell r="B51" t="str">
            <v>OWENS &amp; MINOR INC</v>
          </cell>
          <cell r="C51">
            <v>20259540.296500001</v>
          </cell>
          <cell r="D51">
            <v>20259540.296500001</v>
          </cell>
        </row>
        <row r="52">
          <cell r="A52">
            <v>25301</v>
          </cell>
          <cell r="B52" t="str">
            <v>PEARSON SUPPLY CO</v>
          </cell>
          <cell r="C52">
            <v>9187.6944999999996</v>
          </cell>
          <cell r="D52">
            <v>9187.6944999999996</v>
          </cell>
        </row>
        <row r="53">
          <cell r="A53">
            <v>35002</v>
          </cell>
          <cell r="B53" t="str">
            <v>PHYSICIAN SALES &amp; SVC INC</v>
          </cell>
          <cell r="C53">
            <v>181445.76500000001</v>
          </cell>
          <cell r="D53">
            <v>181445.76500000001</v>
          </cell>
        </row>
        <row r="54">
          <cell r="A54">
            <v>40883</v>
          </cell>
          <cell r="B54" t="str">
            <v>PROF HOSPITAL SUPPLY</v>
          </cell>
          <cell r="C54">
            <v>1999122.1381000001</v>
          </cell>
          <cell r="D54">
            <v>1999122.1381000001</v>
          </cell>
        </row>
        <row r="55">
          <cell r="A55">
            <v>18436</v>
          </cell>
          <cell r="B55" t="str">
            <v>PSS WORLD MEDICAL INC</v>
          </cell>
          <cell r="C55">
            <v>102915.14</v>
          </cell>
          <cell r="D55">
            <v>102915.14</v>
          </cell>
        </row>
        <row r="56">
          <cell r="A56">
            <v>283432</v>
          </cell>
          <cell r="B56" t="str">
            <v>RGH ENTERPRISES</v>
          </cell>
          <cell r="C56">
            <v>24718.7</v>
          </cell>
          <cell r="D56">
            <v>24718.7</v>
          </cell>
        </row>
        <row r="57">
          <cell r="A57">
            <v>49201</v>
          </cell>
          <cell r="B57" t="str">
            <v>SENECA MEDICAL</v>
          </cell>
          <cell r="C57">
            <v>672120.14179999998</v>
          </cell>
          <cell r="D57">
            <v>672120.14179999998</v>
          </cell>
        </row>
        <row r="58">
          <cell r="A58">
            <v>3595</v>
          </cell>
          <cell r="B58" t="str">
            <v>SHARED SVCS</v>
          </cell>
          <cell r="C58">
            <v>89604.580600000001</v>
          </cell>
          <cell r="D58">
            <v>89604.580600000001</v>
          </cell>
        </row>
        <row r="59">
          <cell r="A59">
            <v>70086</v>
          </cell>
          <cell r="B59" t="str">
            <v>SUTURE EXPRESS</v>
          </cell>
          <cell r="C59">
            <v>1579378.48</v>
          </cell>
          <cell r="D59">
            <v>1579378.48</v>
          </cell>
        </row>
        <row r="60">
          <cell r="A60">
            <v>159339</v>
          </cell>
          <cell r="B60" t="str">
            <v>TRINITY STERILE INC</v>
          </cell>
          <cell r="C60">
            <v>-31786.880399999998</v>
          </cell>
          <cell r="D60">
            <v>-31786.880399999998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BIO 2Q12"/>
      <sheetName val="Sales Reported - No Payment"/>
      <sheetName val="Checklist"/>
      <sheetName val="BIO 1Q12"/>
    </sheetNames>
    <sheetDataSet>
      <sheetData sheetId="0"/>
      <sheetData sheetId="1">
        <row r="8">
          <cell r="A8" t="str">
            <v>Dist HQ#</v>
          </cell>
          <cell r="B8" t="str">
            <v>Distributor Name</v>
          </cell>
          <cell r="C8" t="str">
            <v>DW Total Sales</v>
          </cell>
        </row>
        <row r="9">
          <cell r="A9">
            <v>55290</v>
          </cell>
          <cell r="B9" t="str">
            <v>AERO MED LTD</v>
          </cell>
          <cell r="C9">
            <v>62431.733200000002</v>
          </cell>
        </row>
        <row r="10">
          <cell r="A10">
            <v>59644</v>
          </cell>
          <cell r="B10" t="str">
            <v>AMERICAN MEDICAL DEPOT</v>
          </cell>
          <cell r="C10">
            <v>19521.16</v>
          </cell>
        </row>
        <row r="11">
          <cell r="A11">
            <v>71949</v>
          </cell>
          <cell r="B11" t="str">
            <v>AVID MEDICAL INC</v>
          </cell>
          <cell r="C11">
            <v>167583.9565</v>
          </cell>
        </row>
        <row r="12">
          <cell r="A12">
            <v>1274</v>
          </cell>
          <cell r="B12" t="str">
            <v>BUFFALO HOSPITAL SUP CO INC</v>
          </cell>
          <cell r="C12">
            <v>190106.8694</v>
          </cell>
        </row>
        <row r="13">
          <cell r="A13">
            <v>18395</v>
          </cell>
          <cell r="B13" t="str">
            <v>BYRAM HEALTHCARE CTRS INC</v>
          </cell>
          <cell r="C13">
            <v>1608.1315</v>
          </cell>
        </row>
        <row r="14">
          <cell r="A14">
            <v>98129</v>
          </cell>
          <cell r="B14" t="str">
            <v>CARDINAL HEALTH INC</v>
          </cell>
          <cell r="C14">
            <v>4023349.11</v>
          </cell>
        </row>
        <row r="15">
          <cell r="A15">
            <v>95216</v>
          </cell>
          <cell r="B15" t="str">
            <v>CARDINAL HEALTH MPS</v>
          </cell>
          <cell r="C15">
            <v>13710820.105900001</v>
          </cell>
        </row>
        <row r="16">
          <cell r="A16">
            <v>1407</v>
          </cell>
          <cell r="B16" t="str">
            <v>CENTURION MEDICAL PRODUCTS</v>
          </cell>
          <cell r="C16">
            <v>1945241.2897999999</v>
          </cell>
        </row>
        <row r="17">
          <cell r="A17">
            <v>40759</v>
          </cell>
          <cell r="B17" t="str">
            <v>CHURCHILL MEDICAL SYSTEMS</v>
          </cell>
          <cell r="C17">
            <v>256900.52669999999</v>
          </cell>
        </row>
        <row r="18">
          <cell r="A18">
            <v>2115</v>
          </cell>
          <cell r="B18" t="str">
            <v>CLAFLIN CO</v>
          </cell>
          <cell r="C18">
            <v>329368.90490000002</v>
          </cell>
        </row>
        <row r="19">
          <cell r="A19">
            <v>25476</v>
          </cell>
          <cell r="B19" t="str">
            <v>CUSTOM STERILE PRODUCTS</v>
          </cell>
          <cell r="C19">
            <v>1898285.1036</v>
          </cell>
        </row>
        <row r="20">
          <cell r="A20">
            <v>1246</v>
          </cell>
          <cell r="B20" t="str">
            <v>DARBY GROUP COMPANIES INC</v>
          </cell>
          <cell r="C20">
            <v>23597.4</v>
          </cell>
        </row>
        <row r="21">
          <cell r="A21">
            <v>2073</v>
          </cell>
          <cell r="B21" t="str">
            <v>DEKROYFT METZ &amp; CO</v>
          </cell>
          <cell r="C21">
            <v>101383.1375</v>
          </cell>
        </row>
        <row r="22">
          <cell r="A22">
            <v>1361</v>
          </cell>
          <cell r="B22" t="str">
            <v>DEROYAL INDUSTRIES,INC</v>
          </cell>
          <cell r="C22">
            <v>21440.5985</v>
          </cell>
        </row>
        <row r="23">
          <cell r="A23">
            <v>1078056</v>
          </cell>
          <cell r="B23" t="str">
            <v>FIRST CHOICE MEDICAL SUPPLY</v>
          </cell>
          <cell r="C23">
            <v>4760.0685999999996</v>
          </cell>
        </row>
        <row r="24">
          <cell r="A24">
            <v>2229</v>
          </cell>
          <cell r="B24" t="str">
            <v>GROGANS INC</v>
          </cell>
          <cell r="C24">
            <v>6943.2</v>
          </cell>
        </row>
        <row r="25">
          <cell r="A25">
            <v>2042</v>
          </cell>
          <cell r="B25" t="str">
            <v>GULF SO MEDICAL SUPPLY</v>
          </cell>
          <cell r="C25">
            <v>34912.895400000001</v>
          </cell>
        </row>
        <row r="26">
          <cell r="A26">
            <v>25510</v>
          </cell>
          <cell r="B26" t="str">
            <v>H. D. SMITH WHOLESALE DRUG</v>
          </cell>
          <cell r="C26">
            <v>106891.47100000001</v>
          </cell>
        </row>
        <row r="27">
          <cell r="A27">
            <v>69724</v>
          </cell>
          <cell r="B27" t="str">
            <v>HANNA MEDICAL CORP</v>
          </cell>
          <cell r="C27">
            <v>10123.56</v>
          </cell>
        </row>
        <row r="28">
          <cell r="A28">
            <v>1225</v>
          </cell>
          <cell r="B28" t="str">
            <v>HENRY SCHEIN INC</v>
          </cell>
          <cell r="C28">
            <v>377256.17340000003</v>
          </cell>
        </row>
        <row r="29">
          <cell r="A29">
            <v>77021</v>
          </cell>
          <cell r="B29" t="str">
            <v>HOME HEALTHCARE SOLUTIONS</v>
          </cell>
          <cell r="C29">
            <v>500.30840000000001</v>
          </cell>
        </row>
        <row r="30">
          <cell r="A30">
            <v>1993</v>
          </cell>
          <cell r="B30" t="str">
            <v>INVACARE SUPPLY GROUP</v>
          </cell>
          <cell r="C30">
            <v>84409.052500000005</v>
          </cell>
        </row>
        <row r="31">
          <cell r="A31">
            <v>1916</v>
          </cell>
          <cell r="B31" t="str">
            <v>KREISERS INC SURGERY DIVISION</v>
          </cell>
          <cell r="C31">
            <v>67661.27</v>
          </cell>
        </row>
        <row r="32">
          <cell r="A32">
            <v>418521</v>
          </cell>
          <cell r="B32" t="str">
            <v>LSL INDUSTRIES INC</v>
          </cell>
          <cell r="C32">
            <v>737125.59809999994</v>
          </cell>
        </row>
        <row r="33">
          <cell r="A33">
            <v>14570</v>
          </cell>
          <cell r="B33" t="str">
            <v>MCKESSON HOSPITAL &amp; ALTERNATE</v>
          </cell>
          <cell r="C33">
            <v>2798239.6159000001</v>
          </cell>
        </row>
        <row r="34">
          <cell r="A34">
            <v>121695</v>
          </cell>
          <cell r="B34" t="str">
            <v>MCKESSON MEDICAL-SURGICAL</v>
          </cell>
          <cell r="C34">
            <v>25301.2677</v>
          </cell>
        </row>
        <row r="35">
          <cell r="A35">
            <v>20436</v>
          </cell>
          <cell r="B35" t="str">
            <v>MCKESSON MED-SURG INC</v>
          </cell>
          <cell r="C35">
            <v>357092.57530000003</v>
          </cell>
        </row>
        <row r="36">
          <cell r="A36">
            <v>1155771</v>
          </cell>
          <cell r="B36" t="str">
            <v>MEDICA PRODUCTS AND SERVICES INC</v>
          </cell>
          <cell r="C36">
            <v>4437.1350000000002</v>
          </cell>
        </row>
        <row r="37">
          <cell r="A37">
            <v>278833</v>
          </cell>
          <cell r="B37" t="str">
            <v>MEDICAL ACTION INDUSTRIES</v>
          </cell>
          <cell r="C37">
            <v>1447982.176</v>
          </cell>
        </row>
        <row r="38">
          <cell r="A38">
            <v>46878</v>
          </cell>
          <cell r="B38" t="str">
            <v>MEDICAL SPECIALITIES DISTRIBUTOR LL</v>
          </cell>
          <cell r="C38">
            <v>620892.61499999999</v>
          </cell>
        </row>
        <row r="39">
          <cell r="A39">
            <v>45169</v>
          </cell>
          <cell r="B39" t="str">
            <v>MEDIKMARK INC</v>
          </cell>
          <cell r="C39">
            <v>317863.01419999998</v>
          </cell>
        </row>
        <row r="40">
          <cell r="A40">
            <v>45230</v>
          </cell>
          <cell r="B40" t="str">
            <v>MEDLINE CUSTOM STERILE</v>
          </cell>
          <cell r="C40">
            <v>1823591.0038999999</v>
          </cell>
        </row>
        <row r="41">
          <cell r="A41">
            <v>2277</v>
          </cell>
          <cell r="B41" t="str">
            <v>MEDLINE INDUSTRIES B01</v>
          </cell>
          <cell r="C41">
            <v>3671842.0603999998</v>
          </cell>
        </row>
        <row r="42">
          <cell r="A42">
            <v>65120</v>
          </cell>
          <cell r="B42" t="str">
            <v>MERCY SURGERY DRESSING GROUP</v>
          </cell>
          <cell r="C42">
            <v>6560.2331000000004</v>
          </cell>
        </row>
        <row r="43">
          <cell r="A43">
            <v>26096</v>
          </cell>
          <cell r="B43" t="str">
            <v>MIDLAND MED SUPPLY CO</v>
          </cell>
          <cell r="C43">
            <v>8980.8534999999993</v>
          </cell>
        </row>
        <row r="44">
          <cell r="A44">
            <v>2291</v>
          </cell>
          <cell r="B44" t="str">
            <v>MIDWEST MEDICAL SUPPLY CO LLC</v>
          </cell>
          <cell r="C44">
            <v>175788.1875</v>
          </cell>
        </row>
        <row r="45">
          <cell r="A45">
            <v>1217</v>
          </cell>
          <cell r="B45" t="str">
            <v>MMS-EAST</v>
          </cell>
          <cell r="C45">
            <v>781418.72530000005</v>
          </cell>
        </row>
        <row r="46">
          <cell r="A46">
            <v>2139</v>
          </cell>
          <cell r="B46" t="str">
            <v>MOHAWK HOSPITAL EQUIP INC</v>
          </cell>
          <cell r="C46">
            <v>95876.082500000004</v>
          </cell>
        </row>
        <row r="47">
          <cell r="A47">
            <v>2123</v>
          </cell>
          <cell r="B47" t="str">
            <v>MOORE MEDICAL LLC</v>
          </cell>
          <cell r="C47">
            <v>4537.9549999999999</v>
          </cell>
        </row>
        <row r="48">
          <cell r="A48">
            <v>31449</v>
          </cell>
          <cell r="B48" t="str">
            <v>MORRIS &amp; DICKSON CO LTD</v>
          </cell>
          <cell r="C48">
            <v>445655.65250000003</v>
          </cell>
        </row>
        <row r="49">
          <cell r="A49">
            <v>67257</v>
          </cell>
          <cell r="B49" t="str">
            <v>NATIONAL DIST&amp;CONTRACTING INC</v>
          </cell>
          <cell r="C49">
            <v>50467.45</v>
          </cell>
        </row>
        <row r="50">
          <cell r="A50">
            <v>60020</v>
          </cell>
          <cell r="B50" t="str">
            <v>OMNI MEDICAL SUPPLY INC</v>
          </cell>
          <cell r="C50">
            <v>71.472499999999997</v>
          </cell>
        </row>
        <row r="51">
          <cell r="A51">
            <v>2163</v>
          </cell>
          <cell r="B51" t="str">
            <v>OWENS &amp; MINOR INC</v>
          </cell>
          <cell r="C51">
            <v>20582263.292300001</v>
          </cell>
        </row>
        <row r="52">
          <cell r="A52">
            <v>1992</v>
          </cell>
          <cell r="B52" t="str">
            <v>P L RIDER CO</v>
          </cell>
          <cell r="C52">
            <v>2115.5700000000002</v>
          </cell>
        </row>
        <row r="53">
          <cell r="A53">
            <v>25301</v>
          </cell>
          <cell r="B53" t="str">
            <v>PEARSON SUPPLY CO</v>
          </cell>
          <cell r="C53">
            <v>9845.9439999999995</v>
          </cell>
        </row>
        <row r="54">
          <cell r="A54">
            <v>35002</v>
          </cell>
          <cell r="B54" t="str">
            <v>PHYSICIAN SALES &amp; SVC INC</v>
          </cell>
          <cell r="C54">
            <v>178660.82750000001</v>
          </cell>
        </row>
        <row r="55">
          <cell r="A55">
            <v>40883</v>
          </cell>
          <cell r="B55" t="str">
            <v>PROF HOSPITAL SUPPLY</v>
          </cell>
          <cell r="C55">
            <v>2022072.0733</v>
          </cell>
        </row>
        <row r="56">
          <cell r="A56">
            <v>18436</v>
          </cell>
          <cell r="B56" t="str">
            <v>PSS WORLD MEDICAL INC</v>
          </cell>
          <cell r="C56">
            <v>93839.93</v>
          </cell>
        </row>
        <row r="57">
          <cell r="A57">
            <v>283432</v>
          </cell>
          <cell r="B57" t="str">
            <v>RGH ENTERPRISES</v>
          </cell>
          <cell r="C57">
            <v>28596.86</v>
          </cell>
        </row>
        <row r="58">
          <cell r="A58">
            <v>49201</v>
          </cell>
          <cell r="B58" t="str">
            <v>SENECA MEDICAL</v>
          </cell>
          <cell r="C58">
            <v>707882.94010000001</v>
          </cell>
        </row>
        <row r="59">
          <cell r="A59">
            <v>3595</v>
          </cell>
          <cell r="B59" t="str">
            <v>SHARED SVCS</v>
          </cell>
          <cell r="C59">
            <v>100448.8942</v>
          </cell>
        </row>
        <row r="60">
          <cell r="A60">
            <v>70086</v>
          </cell>
          <cell r="B60" t="str">
            <v>SUTURE EXPRESS</v>
          </cell>
          <cell r="C60">
            <v>1310719.1499999999</v>
          </cell>
        </row>
        <row r="61">
          <cell r="A61">
            <v>159339</v>
          </cell>
          <cell r="B61" t="str">
            <v>TRINITY STERILE INC</v>
          </cell>
          <cell r="C61">
            <v>146601.78719999999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Lou" refreshedDate="46000.594596296294" createdVersion="8" refreshedVersion="8" minRefreshableVersion="3" recordCount="33" xr:uid="{C640BBE2-5D34-40D2-BB03-6751ECF92064}">
  <cacheSource type="worksheet">
    <worksheetSource ref="A4:M37" sheet="Customer Report"/>
  </cacheSource>
  <cacheFields count="13">
    <cacheField name="SMID" numFmtId="0">
      <sharedItems containsSemiMixedTypes="0" containsString="0" containsNumber="1" containsInteger="1" minValue="10394" maxValue="11657"/>
    </cacheField>
    <cacheField name="JNJID" numFmtId="0">
      <sharedItems containsSemiMixedTypes="0" containsString="0" containsNumber="1" containsInteger="1" minValue="2514" maxValue="10259"/>
    </cacheField>
    <cacheField name="AccountName" numFmtId="0">
      <sharedItems count="3">
        <s v="Montefiore Medical Center Moses Division"/>
        <s v="White Plains Hospital Center"/>
        <s v="Montefiore MC - WDH"/>
      </sharedItems>
    </cacheField>
    <cacheField name="Ship-To Address" numFmtId="0">
      <sharedItems/>
    </cacheField>
    <cacheField name="City" numFmtId="0">
      <sharedItems/>
    </cacheField>
    <cacheField name="State" numFmtId="0">
      <sharedItems/>
    </cacheField>
    <cacheField name="Zip Code" numFmtId="0">
      <sharedItems/>
    </cacheField>
    <cacheField name="Collection Date" numFmtId="14">
      <sharedItems containsSemiMixedTypes="0" containsNonDate="0" containsDate="1" containsString="0" minDate="2025-04-01T00:00:00" maxDate="2025-06-28T00:00:00"/>
    </cacheField>
    <cacheField name="Manufacturer" numFmtId="0">
      <sharedItems/>
    </cacheField>
    <cacheField name="Part Number" numFmtId="0">
      <sharedItems/>
    </cacheField>
    <cacheField name="Quantity Returned" numFmtId="0">
      <sharedItems containsSemiMixedTypes="0" containsString="0" containsNumber="1" containsInteger="1" minValue="1" maxValue="35"/>
    </cacheField>
    <cacheField name="$ Per Return" numFmtId="44">
      <sharedItems containsSemiMixedTypes="0" containsString="0" containsNumber="1" containsInteger="1" minValue="100" maxValue="100"/>
    </cacheField>
    <cacheField name="Rebate Amount" numFmtId="44">
      <sharedItems containsSemiMixedTypes="0" containsString="0" containsNumber="1" containsInteger="1" minValue="10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10394"/>
    <n v="2514"/>
    <x v="0"/>
    <s v="111 East 210th Street"/>
    <s v="Bronx"/>
    <s v="NY"/>
    <s v="10467-2401"/>
    <d v="2025-04-17T00:00:00"/>
    <s v="BIOSENSE WEBSTER"/>
    <s v="BIO10439072"/>
    <n v="8"/>
    <n v="100"/>
    <n v="800"/>
  </r>
  <r>
    <n v="10394"/>
    <n v="2514"/>
    <x v="0"/>
    <s v="111 East 210th Street"/>
    <s v="Bronx"/>
    <s v="NY"/>
    <s v="10467-2401"/>
    <d v="2025-04-18T00:00:00"/>
    <s v="BIOSENSE WEBSTER"/>
    <s v="BIO10438577"/>
    <n v="1"/>
    <n v="100"/>
    <n v="100"/>
  </r>
  <r>
    <n v="10394"/>
    <n v="2514"/>
    <x v="0"/>
    <s v="111 East 210th Street"/>
    <s v="Bronx"/>
    <s v="NY"/>
    <s v="10467-2401"/>
    <d v="2025-04-18T00:00:00"/>
    <s v="BIOSENSE WEBSTER"/>
    <s v="BIO10439072"/>
    <n v="14"/>
    <n v="100"/>
    <n v="1400"/>
  </r>
  <r>
    <n v="10394"/>
    <n v="2514"/>
    <x v="0"/>
    <s v="111 East 210th Street"/>
    <s v="Bronx"/>
    <s v="NY"/>
    <s v="10467-2401"/>
    <d v="2025-05-06T00:00:00"/>
    <s v="BIOSENSE WEBSTER"/>
    <s v="BIO10439072"/>
    <n v="17"/>
    <n v="100"/>
    <n v="1700"/>
  </r>
  <r>
    <n v="10394"/>
    <n v="2514"/>
    <x v="0"/>
    <s v="111 East 210th Street"/>
    <s v="Bronx"/>
    <s v="NY"/>
    <s v="10467-2401"/>
    <d v="2025-05-07T00:00:00"/>
    <s v="BIOSENSE WEBSTER"/>
    <s v="BIO10439072"/>
    <n v="8"/>
    <n v="100"/>
    <n v="800"/>
  </r>
  <r>
    <n v="10394"/>
    <n v="2514"/>
    <x v="0"/>
    <s v="111 East 210th Street"/>
    <s v="Bronx"/>
    <s v="NY"/>
    <s v="10467-2401"/>
    <d v="2025-05-07T00:00:00"/>
    <s v="BIOSENSE WEBSTER"/>
    <s v="R10439236"/>
    <n v="1"/>
    <n v="100"/>
    <n v="100"/>
  </r>
  <r>
    <n v="10394"/>
    <n v="2514"/>
    <x v="0"/>
    <s v="111 East 210th Street"/>
    <s v="Bronx"/>
    <s v="NY"/>
    <s v="10467-2401"/>
    <d v="2025-06-02T00:00:00"/>
    <s v="BIOSENSE WEBSTER"/>
    <s v="BIO10439072"/>
    <n v="35"/>
    <n v="100"/>
    <n v="3500"/>
  </r>
  <r>
    <n v="10394"/>
    <n v="2514"/>
    <x v="0"/>
    <s v="111 East 210th Street"/>
    <s v="Bronx"/>
    <s v="NY"/>
    <s v="10467-2401"/>
    <d v="2025-06-06T00:00:00"/>
    <s v="BIOSENSE WEBSTER"/>
    <s v="BIO10438577"/>
    <n v="2"/>
    <n v="100"/>
    <n v="200"/>
  </r>
  <r>
    <n v="10394"/>
    <n v="2514"/>
    <x v="0"/>
    <s v="111 East 210th Street"/>
    <s v="Bronx"/>
    <s v="NY"/>
    <s v="10467-2401"/>
    <d v="2025-06-06T00:00:00"/>
    <s v="BIOSENSE WEBSTER"/>
    <s v="BIO10439072"/>
    <n v="2"/>
    <n v="100"/>
    <n v="200"/>
  </r>
  <r>
    <n v="10394"/>
    <n v="2514"/>
    <x v="0"/>
    <s v="111 East 210th Street"/>
    <s v="Bronx"/>
    <s v="NY"/>
    <s v="10467-2401"/>
    <d v="2025-06-09T00:00:00"/>
    <s v="ACUSON"/>
    <s v="ACU10043342"/>
    <n v="1"/>
    <n v="100"/>
    <n v="100"/>
  </r>
  <r>
    <n v="10394"/>
    <n v="2514"/>
    <x v="0"/>
    <s v="111 East 210th Street"/>
    <s v="Bronx"/>
    <s v="NY"/>
    <s v="10467-2401"/>
    <d v="2025-06-09T00:00:00"/>
    <s v="BIOSENSE WEBSTER"/>
    <s v="BIO10439072"/>
    <n v="11"/>
    <n v="100"/>
    <n v="1100"/>
  </r>
  <r>
    <n v="11610"/>
    <n v="2521"/>
    <x v="1"/>
    <s v="41 East Post Road"/>
    <s v="White Plains"/>
    <s v="NY"/>
    <s v="10601-4607"/>
    <d v="2025-04-01T00:00:00"/>
    <s v="BIOSENSE WEBSTER"/>
    <s v="R10439236"/>
    <n v="11"/>
    <n v="100"/>
    <n v="1100"/>
  </r>
  <r>
    <n v="11610"/>
    <n v="2521"/>
    <x v="1"/>
    <s v="41 East Post Road"/>
    <s v="White Plains"/>
    <s v="NY"/>
    <s v="10601-4607"/>
    <d v="2025-04-08T00:00:00"/>
    <s v="BIOSENSE WEBSTER"/>
    <s v="R10439236"/>
    <n v="8"/>
    <n v="100"/>
    <n v="800"/>
  </r>
  <r>
    <n v="11610"/>
    <n v="2521"/>
    <x v="1"/>
    <s v="41 East Post Road"/>
    <s v="White Plains"/>
    <s v="NY"/>
    <s v="10601-4607"/>
    <d v="2025-04-15T00:00:00"/>
    <s v="ACUSON"/>
    <s v="ACU10135910"/>
    <n v="2"/>
    <n v="100"/>
    <n v="200"/>
  </r>
  <r>
    <n v="11610"/>
    <n v="2521"/>
    <x v="1"/>
    <s v="41 East Post Road"/>
    <s v="White Plains"/>
    <s v="NY"/>
    <s v="10601-4607"/>
    <d v="2025-04-15T00:00:00"/>
    <s v="BIOSENSE WEBSTER"/>
    <s v="R10439236"/>
    <n v="18"/>
    <n v="100"/>
    <n v="1800"/>
  </r>
  <r>
    <n v="11610"/>
    <n v="2521"/>
    <x v="1"/>
    <s v="41 East Post Road"/>
    <s v="White Plains"/>
    <s v="NY"/>
    <s v="10601-4607"/>
    <d v="2025-04-22T00:00:00"/>
    <s v="BIOSENSE WEBSTER"/>
    <s v="R10439236"/>
    <n v="9"/>
    <n v="100"/>
    <n v="900"/>
  </r>
  <r>
    <n v="11610"/>
    <n v="2521"/>
    <x v="1"/>
    <s v="41 East Post Road"/>
    <s v="White Plains"/>
    <s v="NY"/>
    <s v="10601-4607"/>
    <d v="2025-04-28T00:00:00"/>
    <s v="BIOSENSE WEBSTER"/>
    <s v="R10439236"/>
    <n v="7"/>
    <n v="100"/>
    <n v="700"/>
  </r>
  <r>
    <n v="11610"/>
    <n v="2521"/>
    <x v="1"/>
    <s v="41 East Post Road"/>
    <s v="White Plains"/>
    <s v="NY"/>
    <s v="10601-4607"/>
    <d v="2025-05-02T00:00:00"/>
    <s v="BIOSENSE WEBSTER"/>
    <s v="R10439236"/>
    <n v="12"/>
    <n v="100"/>
    <n v="1200"/>
  </r>
  <r>
    <n v="11610"/>
    <n v="2521"/>
    <x v="1"/>
    <s v="41 East Post Road"/>
    <s v="White Plains"/>
    <s v="NY"/>
    <s v="10601-4607"/>
    <d v="2025-05-07T00:00:00"/>
    <s v="BIOSENSE WEBSTER"/>
    <s v="R10439236"/>
    <n v="11"/>
    <n v="100"/>
    <n v="1100"/>
  </r>
  <r>
    <n v="11610"/>
    <n v="2521"/>
    <x v="1"/>
    <s v="41 East Post Road"/>
    <s v="White Plains"/>
    <s v="NY"/>
    <s v="10601-4607"/>
    <d v="2025-05-12T00:00:00"/>
    <s v="BIOSENSE WEBSTER"/>
    <s v="R10439236"/>
    <n v="7"/>
    <n v="100"/>
    <n v="700"/>
  </r>
  <r>
    <n v="11610"/>
    <n v="2521"/>
    <x v="1"/>
    <s v="41 East Post Road"/>
    <s v="White Plains"/>
    <s v="NY"/>
    <s v="10601-4607"/>
    <d v="2025-05-16T00:00:00"/>
    <s v="BIOSENSE WEBSTER"/>
    <s v="R10439236"/>
    <n v="10"/>
    <n v="100"/>
    <n v="1000"/>
  </r>
  <r>
    <n v="11610"/>
    <n v="2521"/>
    <x v="1"/>
    <s v="41 East Post Road"/>
    <s v="White Plains"/>
    <s v="NY"/>
    <s v="10601-4607"/>
    <d v="2025-05-22T00:00:00"/>
    <s v="BIOSENSE WEBSTER"/>
    <s v="R10439236"/>
    <n v="11"/>
    <n v="100"/>
    <n v="1100"/>
  </r>
  <r>
    <n v="11610"/>
    <n v="2521"/>
    <x v="1"/>
    <s v="41 East Post Road"/>
    <s v="White Plains"/>
    <s v="NY"/>
    <s v="10601-4607"/>
    <d v="2025-05-28T00:00:00"/>
    <s v="BIOSENSE WEBSTER"/>
    <s v="R10439236"/>
    <n v="12"/>
    <n v="100"/>
    <n v="1200"/>
  </r>
  <r>
    <n v="11610"/>
    <n v="2521"/>
    <x v="1"/>
    <s v="41 East Post Road"/>
    <s v="White Plains"/>
    <s v="NY"/>
    <s v="10601-4607"/>
    <d v="2025-06-03T00:00:00"/>
    <s v="BIOSENSE WEBSTER"/>
    <s v="R10439236"/>
    <n v="7"/>
    <n v="100"/>
    <n v="700"/>
  </r>
  <r>
    <n v="11610"/>
    <n v="2521"/>
    <x v="1"/>
    <s v="41 East Post Road"/>
    <s v="White Plains"/>
    <s v="NY"/>
    <s v="10601-4607"/>
    <d v="2025-06-17T00:00:00"/>
    <s v="BIOSENSE WEBSTER"/>
    <s v="R10439236"/>
    <n v="25"/>
    <n v="100"/>
    <n v="2500"/>
  </r>
  <r>
    <n v="11610"/>
    <n v="2521"/>
    <x v="1"/>
    <s v="41 East Post Road"/>
    <s v="White Plains"/>
    <s v="NY"/>
    <s v="10601-4607"/>
    <d v="2025-06-27T00:00:00"/>
    <s v="BIOSENSE WEBSTER"/>
    <s v="R10439236"/>
    <n v="10"/>
    <n v="100"/>
    <n v="1000"/>
  </r>
  <r>
    <n v="11657"/>
    <n v="10259"/>
    <x v="2"/>
    <s v="1600 Tenbroeck Avenue"/>
    <s v="Bronx"/>
    <s v="NY"/>
    <s v="10461-2008"/>
    <d v="2025-04-02T00:00:00"/>
    <s v="BIOSENSE WEBSTER"/>
    <s v="BIO10439072"/>
    <n v="4"/>
    <n v="100"/>
    <n v="400"/>
  </r>
  <r>
    <n v="11657"/>
    <n v="10259"/>
    <x v="2"/>
    <s v="1600 Tenbroeck Avenue"/>
    <s v="Bronx"/>
    <s v="NY"/>
    <s v="10461-2008"/>
    <d v="2025-04-16T00:00:00"/>
    <s v="BIOSENSE WEBSTER"/>
    <s v="BIO10439072"/>
    <n v="5"/>
    <n v="100"/>
    <n v="500"/>
  </r>
  <r>
    <n v="11657"/>
    <n v="10259"/>
    <x v="2"/>
    <s v="1600 Tenbroeck Avenue"/>
    <s v="Bronx"/>
    <s v="NY"/>
    <s v="10461-2008"/>
    <d v="2025-05-05T00:00:00"/>
    <s v="BIOSENSE WEBSTER"/>
    <s v="BIO10439072"/>
    <n v="13"/>
    <n v="100"/>
    <n v="1300"/>
  </r>
  <r>
    <n v="11657"/>
    <n v="10259"/>
    <x v="2"/>
    <s v="1600 Tenbroeck Avenue"/>
    <s v="Bronx"/>
    <s v="NY"/>
    <s v="10461-2008"/>
    <d v="2025-05-27T00:00:00"/>
    <s v="BIOSENSE WEBSTER"/>
    <s v="BIO10439072"/>
    <n v="6"/>
    <n v="100"/>
    <n v="600"/>
  </r>
  <r>
    <n v="11657"/>
    <n v="10259"/>
    <x v="2"/>
    <s v="1600 Tenbroeck Avenue"/>
    <s v="Bronx"/>
    <s v="NY"/>
    <s v="10461-2008"/>
    <d v="2025-06-17T00:00:00"/>
    <s v="BIOSENSE WEBSTER"/>
    <s v="BIO10439072"/>
    <n v="6"/>
    <n v="100"/>
    <n v="600"/>
  </r>
  <r>
    <n v="11657"/>
    <n v="10259"/>
    <x v="2"/>
    <s v="1600 Tenbroeck Avenue"/>
    <s v="Bronx"/>
    <s v="NY"/>
    <s v="10461-2008"/>
    <d v="2025-06-20T00:00:00"/>
    <s v="BIOSENSE WEBSTER"/>
    <s v="BIO10439072"/>
    <n v="5"/>
    <n v="100"/>
    <n v="500"/>
  </r>
  <r>
    <n v="11657"/>
    <n v="10259"/>
    <x v="2"/>
    <s v="1600 Tenbroeck Avenue"/>
    <s v="Bronx"/>
    <s v="NY"/>
    <s v="10461-2008"/>
    <d v="2025-06-27T00:00:00"/>
    <s v="BIOSENSE WEBSTER"/>
    <s v="BIO10439072"/>
    <n v="5"/>
    <n v="1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EB25A-CC85-4893-82F9-6E10AF6C788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bate Amount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4224-B533-4C5B-8F94-1ABE369BF440}">
  <sheetPr codeName="Sheet15"/>
  <dimension ref="B8:B34"/>
  <sheetViews>
    <sheetView tabSelected="1" zoomScale="80" zoomScaleNormal="80" workbookViewId="0">
      <selection activeCell="B16" sqref="B16"/>
    </sheetView>
  </sheetViews>
  <sheetFormatPr defaultColWidth="9.28515625" defaultRowHeight="15" x14ac:dyDescent="0.25"/>
  <cols>
    <col min="1" max="1" width="9.28515625" style="2"/>
    <col min="2" max="2" width="99" style="2" customWidth="1"/>
    <col min="3" max="16384" width="9.28515625" style="2"/>
  </cols>
  <sheetData>
    <row r="8" spans="2:2" x14ac:dyDescent="0.25">
      <c r="B8" s="3">
        <v>45930</v>
      </c>
    </row>
    <row r="10" spans="2:2" x14ac:dyDescent="0.25">
      <c r="B10" s="5" t="s">
        <v>21</v>
      </c>
    </row>
    <row r="12" spans="2:2" x14ac:dyDescent="0.25">
      <c r="B12" s="9" t="s">
        <v>22</v>
      </c>
    </row>
    <row r="13" spans="2:2" x14ac:dyDescent="0.25">
      <c r="B13" s="9" t="s">
        <v>23</v>
      </c>
    </row>
    <row r="15" spans="2:2" x14ac:dyDescent="0.25">
      <c r="B15" s="8" t="s">
        <v>35</v>
      </c>
    </row>
    <row r="17" spans="2:2" x14ac:dyDescent="0.25">
      <c r="B17" s="4" t="s">
        <v>0</v>
      </c>
    </row>
    <row r="19" spans="2:2" ht="45" x14ac:dyDescent="0.25">
      <c r="B19" s="7" t="s">
        <v>46</v>
      </c>
    </row>
    <row r="21" spans="2:2" ht="60" x14ac:dyDescent="0.25">
      <c r="B21" s="6" t="s">
        <v>47</v>
      </c>
    </row>
    <row r="23" spans="2:2" ht="30" x14ac:dyDescent="0.25">
      <c r="B23" s="6" t="s">
        <v>4</v>
      </c>
    </row>
    <row r="25" spans="2:2" ht="45" x14ac:dyDescent="0.25">
      <c r="B25" s="7" t="s">
        <v>37</v>
      </c>
    </row>
    <row r="27" spans="2:2" x14ac:dyDescent="0.25">
      <c r="B27" s="4" t="s">
        <v>1</v>
      </c>
    </row>
    <row r="29" spans="2:2" x14ac:dyDescent="0.25">
      <c r="B29" s="5" t="s">
        <v>36</v>
      </c>
    </row>
    <row r="30" spans="2:2" x14ac:dyDescent="0.25">
      <c r="B30" s="5" t="s">
        <v>2</v>
      </c>
    </row>
    <row r="31" spans="2:2" x14ac:dyDescent="0.25">
      <c r="B31" s="5" t="s">
        <v>3</v>
      </c>
    </row>
    <row r="33" spans="2:2" x14ac:dyDescent="0.25">
      <c r="B33" s="5"/>
    </row>
    <row r="34" spans="2:2" x14ac:dyDescent="0.25">
      <c r="B3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2EB2-33C0-4958-B2B2-7629C02637EE}">
  <dimension ref="A2:G7"/>
  <sheetViews>
    <sheetView workbookViewId="0">
      <selection activeCell="G5" sqref="G5"/>
    </sheetView>
  </sheetViews>
  <sheetFormatPr defaultRowHeight="15" x14ac:dyDescent="0.25"/>
  <cols>
    <col min="1" max="1" width="36.28515625" bestFit="1" customWidth="1"/>
    <col min="2" max="2" width="20.85546875" bestFit="1" customWidth="1"/>
    <col min="4" max="4" width="10.42578125" bestFit="1" customWidth="1"/>
  </cols>
  <sheetData>
    <row r="2" spans="1:7" x14ac:dyDescent="0.25">
      <c r="G2" t="s">
        <v>51</v>
      </c>
    </row>
    <row r="3" spans="1:7" x14ac:dyDescent="0.25">
      <c r="A3" s="18" t="s">
        <v>48</v>
      </c>
      <c r="B3" t="s">
        <v>50</v>
      </c>
      <c r="D3" t="s">
        <v>52</v>
      </c>
      <c r="G3">
        <v>11900</v>
      </c>
    </row>
    <row r="4" spans="1:7" x14ac:dyDescent="0.25">
      <c r="A4" s="19" t="s">
        <v>43</v>
      </c>
      <c r="B4" s="16">
        <v>4400</v>
      </c>
      <c r="C4">
        <f>GETPIVOTDATA("Rebate Amount",$A$3,"AccountName","Montefiore MC - WDH")+GETPIVOTDATA("Rebate Amount",$A$3,"AccountName","Montefiore Medical Center Moses Division")</f>
        <v>14400</v>
      </c>
      <c r="D4">
        <v>26300</v>
      </c>
    </row>
    <row r="5" spans="1:7" x14ac:dyDescent="0.25">
      <c r="A5" s="19" t="s">
        <v>38</v>
      </c>
      <c r="B5" s="16">
        <v>10000</v>
      </c>
    </row>
    <row r="6" spans="1:7" x14ac:dyDescent="0.25">
      <c r="A6" s="19" t="s">
        <v>28</v>
      </c>
      <c r="B6" s="16">
        <v>16000</v>
      </c>
    </row>
    <row r="7" spans="1:7" x14ac:dyDescent="0.25">
      <c r="A7" s="19" t="s">
        <v>49</v>
      </c>
      <c r="B7" s="16">
        <v>30400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5B04-6C32-41A4-A20A-2174452BCECF}">
  <sheetPr codeName="Sheet6"/>
  <dimension ref="A1:Q279"/>
  <sheetViews>
    <sheetView zoomScale="80" zoomScaleNormal="80" workbookViewId="0">
      <selection activeCell="M1" sqref="M1:M1048576"/>
    </sheetView>
  </sheetViews>
  <sheetFormatPr defaultColWidth="11.28515625" defaultRowHeight="15" x14ac:dyDescent="0.25"/>
  <cols>
    <col min="1" max="1" width="8.28515625" customWidth="1"/>
    <col min="2" max="2" width="9.28515625" style="1" customWidth="1"/>
    <col min="3" max="3" width="21.28515625" bestFit="1" customWidth="1"/>
    <col min="4" max="4" width="18.7109375" bestFit="1" customWidth="1"/>
    <col min="5" max="5" width="7.28515625" bestFit="1" customWidth="1"/>
    <col min="6" max="6" width="7.7109375" customWidth="1"/>
    <col min="7" max="7" width="10.7109375" bestFit="1" customWidth="1"/>
    <col min="8" max="8" width="14.28515625" bestFit="1" customWidth="1"/>
    <col min="9" max="9" width="12.5703125" bestFit="1" customWidth="1"/>
    <col min="10" max="10" width="11.7109375" bestFit="1" customWidth="1"/>
    <col min="11" max="11" width="17" bestFit="1" customWidth="1"/>
    <col min="12" max="12" width="10.7109375" style="12" bestFit="1" customWidth="1"/>
    <col min="13" max="13" width="14.28515625" customWidth="1"/>
  </cols>
  <sheetData>
    <row r="1" spans="1:17" x14ac:dyDescent="0.25">
      <c r="A1" s="17" t="e">
        <f>#REF!</f>
        <v>#REF!</v>
      </c>
      <c r="B1" s="10" t="s">
        <v>20</v>
      </c>
    </row>
    <row r="2" spans="1:17" x14ac:dyDescent="0.25">
      <c r="A2" s="10" t="e">
        <f>#REF!</f>
        <v>#REF!</v>
      </c>
    </row>
    <row r="3" spans="1:17" x14ac:dyDescent="0.25">
      <c r="G3" s="13" t="s">
        <v>19</v>
      </c>
      <c r="H3">
        <f>SUM(K:K)</f>
        <v>304</v>
      </c>
      <c r="I3" s="13" t="s">
        <v>18</v>
      </c>
      <c r="J3" s="16">
        <f>SUM(M:M)</f>
        <v>30400</v>
      </c>
    </row>
    <row r="4" spans="1:17" x14ac:dyDescent="0.25">
      <c r="A4" s="13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3" t="s">
        <v>14</v>
      </c>
      <c r="K4" s="13" t="s">
        <v>15</v>
      </c>
      <c r="L4" s="14" t="s">
        <v>16</v>
      </c>
      <c r="M4" s="13" t="s">
        <v>17</v>
      </c>
      <c r="Q4" s="11"/>
    </row>
    <row r="5" spans="1:17" x14ac:dyDescent="0.25">
      <c r="A5">
        <v>10394</v>
      </c>
      <c r="B5">
        <v>2514</v>
      </c>
      <c r="C5" t="s">
        <v>38</v>
      </c>
      <c r="D5" t="s">
        <v>24</v>
      </c>
      <c r="E5" t="s">
        <v>25</v>
      </c>
      <c r="F5" t="s">
        <v>26</v>
      </c>
      <c r="G5" t="s">
        <v>27</v>
      </c>
      <c r="H5" s="11">
        <v>45764</v>
      </c>
      <c r="I5" t="s">
        <v>39</v>
      </c>
      <c r="J5" t="s">
        <v>33</v>
      </c>
      <c r="K5">
        <v>8</v>
      </c>
      <c r="L5" s="12">
        <v>100</v>
      </c>
      <c r="M5" s="15">
        <f>K5*L5</f>
        <v>800</v>
      </c>
      <c r="Q5" s="11"/>
    </row>
    <row r="6" spans="1:17" x14ac:dyDescent="0.25">
      <c r="A6">
        <v>10394</v>
      </c>
      <c r="B6">
        <v>2514</v>
      </c>
      <c r="C6" t="s">
        <v>38</v>
      </c>
      <c r="D6" t="s">
        <v>24</v>
      </c>
      <c r="E6" t="s">
        <v>25</v>
      </c>
      <c r="F6" t="s">
        <v>26</v>
      </c>
      <c r="G6" t="s">
        <v>27</v>
      </c>
      <c r="H6" s="11">
        <v>45765</v>
      </c>
      <c r="I6" t="s">
        <v>39</v>
      </c>
      <c r="J6" t="s">
        <v>32</v>
      </c>
      <c r="K6">
        <v>1</v>
      </c>
      <c r="L6" s="12">
        <v>100</v>
      </c>
      <c r="M6" s="15">
        <f t="shared" ref="M6:M37" si="0">K6*L6</f>
        <v>100</v>
      </c>
      <c r="Q6" s="11"/>
    </row>
    <row r="7" spans="1:17" x14ac:dyDescent="0.25">
      <c r="A7">
        <v>10394</v>
      </c>
      <c r="B7">
        <v>2514</v>
      </c>
      <c r="C7" t="s">
        <v>38</v>
      </c>
      <c r="D7" t="s">
        <v>24</v>
      </c>
      <c r="E7" t="s">
        <v>25</v>
      </c>
      <c r="F7" t="s">
        <v>26</v>
      </c>
      <c r="G7" t="s">
        <v>27</v>
      </c>
      <c r="H7" s="11">
        <v>45765</v>
      </c>
      <c r="I7" t="s">
        <v>39</v>
      </c>
      <c r="J7" t="s">
        <v>33</v>
      </c>
      <c r="K7">
        <v>14</v>
      </c>
      <c r="L7" s="12">
        <v>100</v>
      </c>
      <c r="M7" s="15">
        <f t="shared" si="0"/>
        <v>1400</v>
      </c>
      <c r="Q7" s="11"/>
    </row>
    <row r="8" spans="1:17" x14ac:dyDescent="0.25">
      <c r="A8">
        <v>10394</v>
      </c>
      <c r="B8">
        <v>2514</v>
      </c>
      <c r="C8" t="s">
        <v>38</v>
      </c>
      <c r="D8" t="s">
        <v>24</v>
      </c>
      <c r="E8" t="s">
        <v>25</v>
      </c>
      <c r="F8" t="s">
        <v>26</v>
      </c>
      <c r="G8" t="s">
        <v>27</v>
      </c>
      <c r="H8" s="11">
        <v>45783</v>
      </c>
      <c r="I8" t="s">
        <v>39</v>
      </c>
      <c r="J8" t="s">
        <v>33</v>
      </c>
      <c r="K8">
        <v>17</v>
      </c>
      <c r="L8" s="12">
        <v>100</v>
      </c>
      <c r="M8" s="15">
        <f t="shared" si="0"/>
        <v>1700</v>
      </c>
      <c r="Q8" s="11"/>
    </row>
    <row r="9" spans="1:17" x14ac:dyDescent="0.25">
      <c r="A9">
        <v>10394</v>
      </c>
      <c r="B9">
        <v>2514</v>
      </c>
      <c r="C9" t="s">
        <v>38</v>
      </c>
      <c r="D9" t="s">
        <v>24</v>
      </c>
      <c r="E9" t="s">
        <v>25</v>
      </c>
      <c r="F9" t="s">
        <v>26</v>
      </c>
      <c r="G9" t="s">
        <v>27</v>
      </c>
      <c r="H9" s="11">
        <v>45784</v>
      </c>
      <c r="I9" t="s">
        <v>39</v>
      </c>
      <c r="J9" t="s">
        <v>33</v>
      </c>
      <c r="K9">
        <v>8</v>
      </c>
      <c r="L9" s="12">
        <v>100</v>
      </c>
      <c r="M9" s="15">
        <f t="shared" si="0"/>
        <v>800</v>
      </c>
      <c r="Q9" s="11"/>
    </row>
    <row r="10" spans="1:17" x14ac:dyDescent="0.25">
      <c r="A10">
        <v>10394</v>
      </c>
      <c r="B10">
        <v>2514</v>
      </c>
      <c r="C10" t="s">
        <v>38</v>
      </c>
      <c r="D10" t="s">
        <v>24</v>
      </c>
      <c r="E10" t="s">
        <v>25</v>
      </c>
      <c r="F10" t="s">
        <v>26</v>
      </c>
      <c r="G10" t="s">
        <v>27</v>
      </c>
      <c r="H10" s="11">
        <v>45784</v>
      </c>
      <c r="I10" t="s">
        <v>39</v>
      </c>
      <c r="J10" t="s">
        <v>34</v>
      </c>
      <c r="K10">
        <v>1</v>
      </c>
      <c r="L10" s="12">
        <v>100</v>
      </c>
      <c r="M10" s="15">
        <f t="shared" si="0"/>
        <v>100</v>
      </c>
      <c r="Q10" s="11"/>
    </row>
    <row r="11" spans="1:17" x14ac:dyDescent="0.25">
      <c r="A11">
        <v>10394</v>
      </c>
      <c r="B11">
        <v>2514</v>
      </c>
      <c r="C11" t="s">
        <v>38</v>
      </c>
      <c r="D11" t="s">
        <v>24</v>
      </c>
      <c r="E11" t="s">
        <v>25</v>
      </c>
      <c r="F11" t="s">
        <v>26</v>
      </c>
      <c r="G11" t="s">
        <v>27</v>
      </c>
      <c r="H11" s="11">
        <v>45810</v>
      </c>
      <c r="I11" t="s">
        <v>39</v>
      </c>
      <c r="J11" t="s">
        <v>33</v>
      </c>
      <c r="K11">
        <v>35</v>
      </c>
      <c r="L11" s="12">
        <v>100</v>
      </c>
      <c r="M11" s="15">
        <f t="shared" si="0"/>
        <v>3500</v>
      </c>
      <c r="Q11" s="11"/>
    </row>
    <row r="12" spans="1:17" x14ac:dyDescent="0.25">
      <c r="A12">
        <v>10394</v>
      </c>
      <c r="B12">
        <v>2514</v>
      </c>
      <c r="C12" t="s">
        <v>38</v>
      </c>
      <c r="D12" t="s">
        <v>24</v>
      </c>
      <c r="E12" t="s">
        <v>25</v>
      </c>
      <c r="F12" t="s">
        <v>26</v>
      </c>
      <c r="G12" t="s">
        <v>27</v>
      </c>
      <c r="H12" s="11">
        <v>45814</v>
      </c>
      <c r="I12" t="s">
        <v>39</v>
      </c>
      <c r="J12" t="s">
        <v>32</v>
      </c>
      <c r="K12">
        <v>2</v>
      </c>
      <c r="L12" s="12">
        <v>100</v>
      </c>
      <c r="M12" s="15">
        <f t="shared" si="0"/>
        <v>200</v>
      </c>
      <c r="Q12" s="11"/>
    </row>
    <row r="13" spans="1:17" x14ac:dyDescent="0.25">
      <c r="A13">
        <v>10394</v>
      </c>
      <c r="B13">
        <v>2514</v>
      </c>
      <c r="C13" t="s">
        <v>38</v>
      </c>
      <c r="D13" t="s">
        <v>24</v>
      </c>
      <c r="E13" t="s">
        <v>25</v>
      </c>
      <c r="F13" t="s">
        <v>26</v>
      </c>
      <c r="G13" t="s">
        <v>27</v>
      </c>
      <c r="H13" s="11">
        <v>45814</v>
      </c>
      <c r="I13" t="s">
        <v>39</v>
      </c>
      <c r="J13" t="s">
        <v>33</v>
      </c>
      <c r="K13">
        <v>2</v>
      </c>
      <c r="L13" s="12">
        <v>100</v>
      </c>
      <c r="M13" s="15">
        <f t="shared" si="0"/>
        <v>200</v>
      </c>
      <c r="Q13" s="11"/>
    </row>
    <row r="14" spans="1:17" x14ac:dyDescent="0.25">
      <c r="A14">
        <v>10394</v>
      </c>
      <c r="B14">
        <v>2514</v>
      </c>
      <c r="C14" t="s">
        <v>38</v>
      </c>
      <c r="D14" t="s">
        <v>24</v>
      </c>
      <c r="E14" t="s">
        <v>25</v>
      </c>
      <c r="F14" t="s">
        <v>26</v>
      </c>
      <c r="G14" t="s">
        <v>27</v>
      </c>
      <c r="H14" s="11">
        <v>45817</v>
      </c>
      <c r="I14" t="s">
        <v>40</v>
      </c>
      <c r="J14" t="s">
        <v>30</v>
      </c>
      <c r="K14">
        <v>1</v>
      </c>
      <c r="L14" s="12">
        <v>100</v>
      </c>
      <c r="M14" s="15">
        <f t="shared" si="0"/>
        <v>100</v>
      </c>
      <c r="Q14" s="11"/>
    </row>
    <row r="15" spans="1:17" x14ac:dyDescent="0.25">
      <c r="A15">
        <v>10394</v>
      </c>
      <c r="B15">
        <v>2514</v>
      </c>
      <c r="C15" t="s">
        <v>38</v>
      </c>
      <c r="D15" t="s">
        <v>24</v>
      </c>
      <c r="E15" t="s">
        <v>25</v>
      </c>
      <c r="F15" t="s">
        <v>26</v>
      </c>
      <c r="G15" t="s">
        <v>27</v>
      </c>
      <c r="H15" s="11">
        <v>45817</v>
      </c>
      <c r="I15" t="s">
        <v>39</v>
      </c>
      <c r="J15" t="s">
        <v>33</v>
      </c>
      <c r="K15">
        <v>11</v>
      </c>
      <c r="L15" s="12">
        <v>100</v>
      </c>
      <c r="M15" s="15">
        <f t="shared" si="0"/>
        <v>1100</v>
      </c>
      <c r="Q15" s="11"/>
    </row>
    <row r="16" spans="1:17" x14ac:dyDescent="0.25">
      <c r="A16">
        <v>11610</v>
      </c>
      <c r="B16">
        <v>2521</v>
      </c>
      <c r="C16" t="s">
        <v>28</v>
      </c>
      <c r="D16" t="s">
        <v>41</v>
      </c>
      <c r="E16" t="s">
        <v>42</v>
      </c>
      <c r="F16" t="s">
        <v>26</v>
      </c>
      <c r="G16" t="s">
        <v>29</v>
      </c>
      <c r="H16" s="11">
        <v>45748</v>
      </c>
      <c r="I16" t="s">
        <v>39</v>
      </c>
      <c r="J16" t="s">
        <v>34</v>
      </c>
      <c r="K16">
        <v>11</v>
      </c>
      <c r="L16" s="12">
        <v>100</v>
      </c>
      <c r="M16" s="15">
        <f t="shared" si="0"/>
        <v>1100</v>
      </c>
      <c r="Q16" s="11"/>
    </row>
    <row r="17" spans="1:17" x14ac:dyDescent="0.25">
      <c r="A17">
        <v>11610</v>
      </c>
      <c r="B17">
        <v>2521</v>
      </c>
      <c r="C17" t="s">
        <v>28</v>
      </c>
      <c r="D17" t="s">
        <v>41</v>
      </c>
      <c r="E17" t="s">
        <v>42</v>
      </c>
      <c r="F17" t="s">
        <v>26</v>
      </c>
      <c r="G17" t="s">
        <v>29</v>
      </c>
      <c r="H17" s="11">
        <v>45755</v>
      </c>
      <c r="I17" t="s">
        <v>39</v>
      </c>
      <c r="J17" t="s">
        <v>34</v>
      </c>
      <c r="K17">
        <v>8</v>
      </c>
      <c r="L17" s="12">
        <v>100</v>
      </c>
      <c r="M17" s="15">
        <f t="shared" si="0"/>
        <v>800</v>
      </c>
      <c r="Q17" s="11"/>
    </row>
    <row r="18" spans="1:17" x14ac:dyDescent="0.25">
      <c r="A18">
        <v>11610</v>
      </c>
      <c r="B18">
        <v>2521</v>
      </c>
      <c r="C18" t="s">
        <v>28</v>
      </c>
      <c r="D18" t="s">
        <v>41</v>
      </c>
      <c r="E18" t="s">
        <v>42</v>
      </c>
      <c r="F18" t="s">
        <v>26</v>
      </c>
      <c r="G18" t="s">
        <v>29</v>
      </c>
      <c r="H18" s="11">
        <v>45762</v>
      </c>
      <c r="I18" t="s">
        <v>40</v>
      </c>
      <c r="J18" t="s">
        <v>31</v>
      </c>
      <c r="K18">
        <v>2</v>
      </c>
      <c r="L18" s="12">
        <v>100</v>
      </c>
      <c r="M18" s="15">
        <f t="shared" si="0"/>
        <v>200</v>
      </c>
      <c r="Q18" s="11"/>
    </row>
    <row r="19" spans="1:17" x14ac:dyDescent="0.25">
      <c r="A19">
        <v>11610</v>
      </c>
      <c r="B19">
        <v>2521</v>
      </c>
      <c r="C19" t="s">
        <v>28</v>
      </c>
      <c r="D19" t="s">
        <v>41</v>
      </c>
      <c r="E19" t="s">
        <v>42</v>
      </c>
      <c r="F19" t="s">
        <v>26</v>
      </c>
      <c r="G19" t="s">
        <v>29</v>
      </c>
      <c r="H19" s="11">
        <v>45762</v>
      </c>
      <c r="I19" t="s">
        <v>39</v>
      </c>
      <c r="J19" t="s">
        <v>34</v>
      </c>
      <c r="K19">
        <v>18</v>
      </c>
      <c r="L19" s="12">
        <v>100</v>
      </c>
      <c r="M19" s="15">
        <f t="shared" si="0"/>
        <v>1800</v>
      </c>
      <c r="Q19" s="11"/>
    </row>
    <row r="20" spans="1:17" x14ac:dyDescent="0.25">
      <c r="A20">
        <v>11610</v>
      </c>
      <c r="B20">
        <v>2521</v>
      </c>
      <c r="C20" t="s">
        <v>28</v>
      </c>
      <c r="D20" t="s">
        <v>41</v>
      </c>
      <c r="E20" t="s">
        <v>42</v>
      </c>
      <c r="F20" t="s">
        <v>26</v>
      </c>
      <c r="G20" t="s">
        <v>29</v>
      </c>
      <c r="H20" s="11">
        <v>45769</v>
      </c>
      <c r="I20" t="s">
        <v>39</v>
      </c>
      <c r="J20" t="s">
        <v>34</v>
      </c>
      <c r="K20">
        <v>9</v>
      </c>
      <c r="L20" s="12">
        <v>100</v>
      </c>
      <c r="M20" s="15">
        <f t="shared" si="0"/>
        <v>900</v>
      </c>
      <c r="Q20" s="11"/>
    </row>
    <row r="21" spans="1:17" x14ac:dyDescent="0.25">
      <c r="A21">
        <v>11610</v>
      </c>
      <c r="B21">
        <v>2521</v>
      </c>
      <c r="C21" t="s">
        <v>28</v>
      </c>
      <c r="D21" t="s">
        <v>41</v>
      </c>
      <c r="E21" t="s">
        <v>42</v>
      </c>
      <c r="F21" t="s">
        <v>26</v>
      </c>
      <c r="G21" t="s">
        <v>29</v>
      </c>
      <c r="H21" s="11">
        <v>45775</v>
      </c>
      <c r="I21" t="s">
        <v>39</v>
      </c>
      <c r="J21" t="s">
        <v>34</v>
      </c>
      <c r="K21">
        <v>7</v>
      </c>
      <c r="L21" s="12">
        <v>100</v>
      </c>
      <c r="M21" s="15">
        <f t="shared" si="0"/>
        <v>700</v>
      </c>
      <c r="Q21" s="11"/>
    </row>
    <row r="22" spans="1:17" x14ac:dyDescent="0.25">
      <c r="A22">
        <v>11610</v>
      </c>
      <c r="B22">
        <v>2521</v>
      </c>
      <c r="C22" t="s">
        <v>28</v>
      </c>
      <c r="D22" t="s">
        <v>41</v>
      </c>
      <c r="E22" t="s">
        <v>42</v>
      </c>
      <c r="F22" t="s">
        <v>26</v>
      </c>
      <c r="G22" t="s">
        <v>29</v>
      </c>
      <c r="H22" s="11">
        <v>45779</v>
      </c>
      <c r="I22" t="s">
        <v>39</v>
      </c>
      <c r="J22" t="s">
        <v>34</v>
      </c>
      <c r="K22">
        <v>12</v>
      </c>
      <c r="L22" s="12">
        <v>100</v>
      </c>
      <c r="M22" s="15">
        <f t="shared" si="0"/>
        <v>1200</v>
      </c>
      <c r="Q22" s="11"/>
    </row>
    <row r="23" spans="1:17" x14ac:dyDescent="0.25">
      <c r="A23">
        <v>11610</v>
      </c>
      <c r="B23">
        <v>2521</v>
      </c>
      <c r="C23" t="s">
        <v>28</v>
      </c>
      <c r="D23" t="s">
        <v>41</v>
      </c>
      <c r="E23" t="s">
        <v>42</v>
      </c>
      <c r="F23" t="s">
        <v>26</v>
      </c>
      <c r="G23" t="s">
        <v>29</v>
      </c>
      <c r="H23" s="11">
        <v>45784</v>
      </c>
      <c r="I23" t="s">
        <v>39</v>
      </c>
      <c r="J23" t="s">
        <v>34</v>
      </c>
      <c r="K23">
        <v>11</v>
      </c>
      <c r="L23" s="12">
        <v>100</v>
      </c>
      <c r="M23" s="15">
        <f t="shared" si="0"/>
        <v>1100</v>
      </c>
      <c r="Q23" s="11"/>
    </row>
    <row r="24" spans="1:17" x14ac:dyDescent="0.25">
      <c r="A24">
        <v>11610</v>
      </c>
      <c r="B24">
        <v>2521</v>
      </c>
      <c r="C24" t="s">
        <v>28</v>
      </c>
      <c r="D24" t="s">
        <v>41</v>
      </c>
      <c r="E24" t="s">
        <v>42</v>
      </c>
      <c r="F24" t="s">
        <v>26</v>
      </c>
      <c r="G24" t="s">
        <v>29</v>
      </c>
      <c r="H24" s="11">
        <v>45789</v>
      </c>
      <c r="I24" t="s">
        <v>39</v>
      </c>
      <c r="J24" t="s">
        <v>34</v>
      </c>
      <c r="K24">
        <v>7</v>
      </c>
      <c r="L24" s="12">
        <v>100</v>
      </c>
      <c r="M24" s="15">
        <f t="shared" si="0"/>
        <v>700</v>
      </c>
      <c r="Q24" s="11"/>
    </row>
    <row r="25" spans="1:17" x14ac:dyDescent="0.25">
      <c r="A25">
        <v>11610</v>
      </c>
      <c r="B25">
        <v>2521</v>
      </c>
      <c r="C25" t="s">
        <v>28</v>
      </c>
      <c r="D25" t="s">
        <v>41</v>
      </c>
      <c r="E25" t="s">
        <v>42</v>
      </c>
      <c r="F25" t="s">
        <v>26</v>
      </c>
      <c r="G25" t="s">
        <v>29</v>
      </c>
      <c r="H25" s="11">
        <v>45793</v>
      </c>
      <c r="I25" t="s">
        <v>39</v>
      </c>
      <c r="J25" t="s">
        <v>34</v>
      </c>
      <c r="K25">
        <v>10</v>
      </c>
      <c r="L25" s="12">
        <v>100</v>
      </c>
      <c r="M25" s="15">
        <f t="shared" si="0"/>
        <v>1000</v>
      </c>
      <c r="Q25" s="11"/>
    </row>
    <row r="26" spans="1:17" x14ac:dyDescent="0.25">
      <c r="A26">
        <v>11610</v>
      </c>
      <c r="B26">
        <v>2521</v>
      </c>
      <c r="C26" t="s">
        <v>28</v>
      </c>
      <c r="D26" t="s">
        <v>41</v>
      </c>
      <c r="E26" t="s">
        <v>42</v>
      </c>
      <c r="F26" t="s">
        <v>26</v>
      </c>
      <c r="G26" t="s">
        <v>29</v>
      </c>
      <c r="H26" s="11">
        <v>45799</v>
      </c>
      <c r="I26" t="s">
        <v>39</v>
      </c>
      <c r="J26" t="s">
        <v>34</v>
      </c>
      <c r="K26">
        <v>11</v>
      </c>
      <c r="L26" s="12">
        <v>100</v>
      </c>
      <c r="M26" s="15">
        <f t="shared" si="0"/>
        <v>1100</v>
      </c>
      <c r="Q26" s="11"/>
    </row>
    <row r="27" spans="1:17" x14ac:dyDescent="0.25">
      <c r="A27">
        <v>11610</v>
      </c>
      <c r="B27">
        <v>2521</v>
      </c>
      <c r="C27" t="s">
        <v>28</v>
      </c>
      <c r="D27" t="s">
        <v>41</v>
      </c>
      <c r="E27" t="s">
        <v>42</v>
      </c>
      <c r="F27" t="s">
        <v>26</v>
      </c>
      <c r="G27" t="s">
        <v>29</v>
      </c>
      <c r="H27" s="11">
        <v>45805</v>
      </c>
      <c r="I27" t="s">
        <v>39</v>
      </c>
      <c r="J27" t="s">
        <v>34</v>
      </c>
      <c r="K27">
        <v>12</v>
      </c>
      <c r="L27" s="12">
        <v>100</v>
      </c>
      <c r="M27" s="15">
        <f t="shared" si="0"/>
        <v>1200</v>
      </c>
      <c r="Q27" s="11"/>
    </row>
    <row r="28" spans="1:17" x14ac:dyDescent="0.25">
      <c r="A28">
        <v>11610</v>
      </c>
      <c r="B28">
        <v>2521</v>
      </c>
      <c r="C28" t="s">
        <v>28</v>
      </c>
      <c r="D28" t="s">
        <v>41</v>
      </c>
      <c r="E28" t="s">
        <v>42</v>
      </c>
      <c r="F28" t="s">
        <v>26</v>
      </c>
      <c r="G28" t="s">
        <v>29</v>
      </c>
      <c r="H28" s="11">
        <v>45811</v>
      </c>
      <c r="I28" t="s">
        <v>39</v>
      </c>
      <c r="J28" t="s">
        <v>34</v>
      </c>
      <c r="K28">
        <v>7</v>
      </c>
      <c r="L28" s="12">
        <v>100</v>
      </c>
      <c r="M28" s="15">
        <f t="shared" si="0"/>
        <v>700</v>
      </c>
      <c r="Q28" s="11"/>
    </row>
    <row r="29" spans="1:17" x14ac:dyDescent="0.25">
      <c r="A29">
        <v>11610</v>
      </c>
      <c r="B29">
        <v>2521</v>
      </c>
      <c r="C29" t="s">
        <v>28</v>
      </c>
      <c r="D29" t="s">
        <v>41</v>
      </c>
      <c r="E29" t="s">
        <v>42</v>
      </c>
      <c r="F29" t="s">
        <v>26</v>
      </c>
      <c r="G29" t="s">
        <v>29</v>
      </c>
      <c r="H29" s="11">
        <v>45825</v>
      </c>
      <c r="I29" t="s">
        <v>39</v>
      </c>
      <c r="J29" t="s">
        <v>34</v>
      </c>
      <c r="K29">
        <v>25</v>
      </c>
      <c r="L29" s="12">
        <v>100</v>
      </c>
      <c r="M29" s="15">
        <f t="shared" si="0"/>
        <v>2500</v>
      </c>
      <c r="Q29" s="11"/>
    </row>
    <row r="30" spans="1:17" x14ac:dyDescent="0.25">
      <c r="A30">
        <v>11610</v>
      </c>
      <c r="B30">
        <v>2521</v>
      </c>
      <c r="C30" t="s">
        <v>28</v>
      </c>
      <c r="D30" t="s">
        <v>41</v>
      </c>
      <c r="E30" t="s">
        <v>42</v>
      </c>
      <c r="F30" t="s">
        <v>26</v>
      </c>
      <c r="G30" t="s">
        <v>29</v>
      </c>
      <c r="H30" s="11">
        <v>45835</v>
      </c>
      <c r="I30" t="s">
        <v>39</v>
      </c>
      <c r="J30" t="s">
        <v>34</v>
      </c>
      <c r="K30">
        <v>10</v>
      </c>
      <c r="L30" s="12">
        <v>100</v>
      </c>
      <c r="M30" s="15">
        <f t="shared" si="0"/>
        <v>1000</v>
      </c>
      <c r="Q30" s="11"/>
    </row>
    <row r="31" spans="1:17" x14ac:dyDescent="0.25">
      <c r="A31">
        <v>11657</v>
      </c>
      <c r="B31">
        <v>10259</v>
      </c>
      <c r="C31" t="s">
        <v>43</v>
      </c>
      <c r="D31" t="s">
        <v>44</v>
      </c>
      <c r="E31" t="s">
        <v>25</v>
      </c>
      <c r="F31" t="s">
        <v>26</v>
      </c>
      <c r="G31" t="s">
        <v>45</v>
      </c>
      <c r="H31" s="11">
        <v>45749</v>
      </c>
      <c r="I31" t="s">
        <v>39</v>
      </c>
      <c r="J31" t="s">
        <v>33</v>
      </c>
      <c r="K31">
        <v>4</v>
      </c>
      <c r="L31" s="12">
        <v>100</v>
      </c>
      <c r="M31" s="15">
        <f t="shared" si="0"/>
        <v>400</v>
      </c>
      <c r="Q31" s="11"/>
    </row>
    <row r="32" spans="1:17" x14ac:dyDescent="0.25">
      <c r="A32">
        <v>11657</v>
      </c>
      <c r="B32">
        <v>10259</v>
      </c>
      <c r="C32" t="s">
        <v>43</v>
      </c>
      <c r="D32" t="s">
        <v>44</v>
      </c>
      <c r="E32" t="s">
        <v>25</v>
      </c>
      <c r="F32" t="s">
        <v>26</v>
      </c>
      <c r="G32" t="s">
        <v>45</v>
      </c>
      <c r="H32" s="11">
        <v>45763</v>
      </c>
      <c r="I32" t="s">
        <v>39</v>
      </c>
      <c r="J32" t="s">
        <v>33</v>
      </c>
      <c r="K32">
        <v>5</v>
      </c>
      <c r="L32" s="12">
        <v>100</v>
      </c>
      <c r="M32" s="15">
        <f t="shared" si="0"/>
        <v>500</v>
      </c>
      <c r="Q32" s="11"/>
    </row>
    <row r="33" spans="1:17" x14ac:dyDescent="0.25">
      <c r="A33">
        <v>11657</v>
      </c>
      <c r="B33">
        <v>10259</v>
      </c>
      <c r="C33" t="s">
        <v>43</v>
      </c>
      <c r="D33" t="s">
        <v>44</v>
      </c>
      <c r="E33" t="s">
        <v>25</v>
      </c>
      <c r="F33" t="s">
        <v>26</v>
      </c>
      <c r="G33" t="s">
        <v>45</v>
      </c>
      <c r="H33" s="11">
        <v>45782</v>
      </c>
      <c r="I33" t="s">
        <v>39</v>
      </c>
      <c r="J33" t="s">
        <v>33</v>
      </c>
      <c r="K33">
        <v>13</v>
      </c>
      <c r="L33" s="12">
        <v>100</v>
      </c>
      <c r="M33" s="15">
        <f t="shared" si="0"/>
        <v>1300</v>
      </c>
      <c r="Q33" s="11"/>
    </row>
    <row r="34" spans="1:17" x14ac:dyDescent="0.25">
      <c r="A34">
        <v>11657</v>
      </c>
      <c r="B34">
        <v>10259</v>
      </c>
      <c r="C34" t="s">
        <v>43</v>
      </c>
      <c r="D34" t="s">
        <v>44</v>
      </c>
      <c r="E34" t="s">
        <v>25</v>
      </c>
      <c r="F34" t="s">
        <v>26</v>
      </c>
      <c r="G34" t="s">
        <v>45</v>
      </c>
      <c r="H34" s="11">
        <v>45804</v>
      </c>
      <c r="I34" t="s">
        <v>39</v>
      </c>
      <c r="J34" t="s">
        <v>33</v>
      </c>
      <c r="K34">
        <v>6</v>
      </c>
      <c r="L34" s="12">
        <v>100</v>
      </c>
      <c r="M34" s="15">
        <f t="shared" si="0"/>
        <v>600</v>
      </c>
      <c r="Q34" s="11"/>
    </row>
    <row r="35" spans="1:17" x14ac:dyDescent="0.25">
      <c r="A35">
        <v>11657</v>
      </c>
      <c r="B35">
        <v>10259</v>
      </c>
      <c r="C35" t="s">
        <v>43</v>
      </c>
      <c r="D35" t="s">
        <v>44</v>
      </c>
      <c r="E35" t="s">
        <v>25</v>
      </c>
      <c r="F35" t="s">
        <v>26</v>
      </c>
      <c r="G35" t="s">
        <v>45</v>
      </c>
      <c r="H35" s="11">
        <v>45825</v>
      </c>
      <c r="I35" t="s">
        <v>39</v>
      </c>
      <c r="J35" t="s">
        <v>33</v>
      </c>
      <c r="K35">
        <v>6</v>
      </c>
      <c r="L35" s="12">
        <v>100</v>
      </c>
      <c r="M35" s="15">
        <f t="shared" si="0"/>
        <v>600</v>
      </c>
      <c r="Q35" s="11"/>
    </row>
    <row r="36" spans="1:17" x14ac:dyDescent="0.25">
      <c r="A36">
        <v>11657</v>
      </c>
      <c r="B36">
        <v>10259</v>
      </c>
      <c r="C36" t="s">
        <v>43</v>
      </c>
      <c r="D36" t="s">
        <v>44</v>
      </c>
      <c r="E36" t="s">
        <v>25</v>
      </c>
      <c r="F36" t="s">
        <v>26</v>
      </c>
      <c r="G36" t="s">
        <v>45</v>
      </c>
      <c r="H36" s="11">
        <v>45828</v>
      </c>
      <c r="I36" t="s">
        <v>39</v>
      </c>
      <c r="J36" t="s">
        <v>33</v>
      </c>
      <c r="K36">
        <v>5</v>
      </c>
      <c r="L36" s="12">
        <v>100</v>
      </c>
      <c r="M36" s="15">
        <f t="shared" si="0"/>
        <v>500</v>
      </c>
      <c r="Q36" s="11"/>
    </row>
    <row r="37" spans="1:17" x14ac:dyDescent="0.25">
      <c r="A37">
        <v>11657</v>
      </c>
      <c r="B37">
        <v>10259</v>
      </c>
      <c r="C37" t="s">
        <v>43</v>
      </c>
      <c r="D37" t="s">
        <v>44</v>
      </c>
      <c r="E37" t="s">
        <v>25</v>
      </c>
      <c r="F37" t="s">
        <v>26</v>
      </c>
      <c r="G37" t="s">
        <v>45</v>
      </c>
      <c r="H37" s="11">
        <v>45835</v>
      </c>
      <c r="I37" t="s">
        <v>39</v>
      </c>
      <c r="J37" t="s">
        <v>33</v>
      </c>
      <c r="K37">
        <v>5</v>
      </c>
      <c r="L37" s="12">
        <v>100</v>
      </c>
      <c r="M37" s="15">
        <f t="shared" si="0"/>
        <v>500</v>
      </c>
      <c r="Q37" s="11"/>
    </row>
    <row r="279" spans="11:13" x14ac:dyDescent="0.25">
      <c r="K279">
        <v>0</v>
      </c>
      <c r="M279">
        <v>0</v>
      </c>
    </row>
  </sheetData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Letter</vt:lpstr>
      <vt:lpstr>Sheet1</vt:lpstr>
      <vt:lpstr>Customer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Plante, Nicole [JJCUS]</dc:creator>
  <cp:lastModifiedBy>Matthew Lou</cp:lastModifiedBy>
  <dcterms:created xsi:type="dcterms:W3CDTF">2017-08-24T17:32:51Z</dcterms:created>
  <dcterms:modified xsi:type="dcterms:W3CDTF">2026-02-17T19:42:36Z</dcterms:modified>
</cp:coreProperties>
</file>