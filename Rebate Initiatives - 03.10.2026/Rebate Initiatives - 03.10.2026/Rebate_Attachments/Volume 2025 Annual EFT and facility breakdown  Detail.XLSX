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efioreorg-my.sharepoint.com/personal/mthan_montefiore_org/Documents/saving initiatives/rebate/Cardinal/Q4 2025/"/>
    </mc:Choice>
  </mc:AlternateContent>
  <xr:revisionPtr revIDLastSave="0" documentId="8_{4267D3CF-FB27-4E7F-BDC2-08E431D689F5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definedNames>
    <definedName name="_xlnm._FilterDatabase" localSheetId="0" hidden="1">Sheet1!$A$1:$I$151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I152" i="1" l="1"/>
</calcChain>
</file>

<file path=xl/sharedStrings.xml><?xml version="1.0" encoding="utf-8"?>
<sst xmlns="http://schemas.openxmlformats.org/spreadsheetml/2006/main" count="546" uniqueCount="87">
  <si>
    <t>5000005863</t>
  </si>
  <si>
    <t>Montefiore Health System, Inc.</t>
  </si>
  <si>
    <t>2052000228</t>
  </si>
  <si>
    <t>P000000028</t>
  </si>
  <si>
    <t>USD</t>
  </si>
  <si>
    <t>H</t>
  </si>
  <si>
    <t>5000015972</t>
  </si>
  <si>
    <t>2052000616</t>
  </si>
  <si>
    <t>2052001442</t>
  </si>
  <si>
    <t>2052001529</t>
  </si>
  <si>
    <t>2052003311</t>
  </si>
  <si>
    <t>2052003716</t>
  </si>
  <si>
    <t>2052008463</t>
  </si>
  <si>
    <t>2052009785</t>
  </si>
  <si>
    <t>2052010232</t>
  </si>
  <si>
    <t>2052017680</t>
  </si>
  <si>
    <t>2052028787</t>
  </si>
  <si>
    <t>2052040651</t>
  </si>
  <si>
    <t>2052044223</t>
  </si>
  <si>
    <t>2052044679</t>
  </si>
  <si>
    <t>2052048742</t>
  </si>
  <si>
    <t>2057187483</t>
  </si>
  <si>
    <t>2057187514</t>
  </si>
  <si>
    <t>2057188237</t>
  </si>
  <si>
    <t>2057188431</t>
  </si>
  <si>
    <t>2057188468</t>
  </si>
  <si>
    <t>P000000127</t>
  </si>
  <si>
    <t>P000000114</t>
  </si>
  <si>
    <t>P000000092</t>
  </si>
  <si>
    <t>P000000091</t>
  </si>
  <si>
    <t>P000000030</t>
  </si>
  <si>
    <t>2057188879</t>
  </si>
  <si>
    <t>2057189008</t>
  </si>
  <si>
    <t>P000000125</t>
  </si>
  <si>
    <t>P000000094</t>
  </si>
  <si>
    <t>P000000029</t>
  </si>
  <si>
    <t>2057189245</t>
  </si>
  <si>
    <t>P000000118</t>
  </si>
  <si>
    <t>2057190431</t>
  </si>
  <si>
    <t>2057190444</t>
  </si>
  <si>
    <t>2057190466</t>
  </si>
  <si>
    <t>2057190489</t>
  </si>
  <si>
    <t>2057190490</t>
  </si>
  <si>
    <t>2057190499</t>
  </si>
  <si>
    <t>2057190501</t>
  </si>
  <si>
    <t>2057190502</t>
  </si>
  <si>
    <t>2057190504</t>
  </si>
  <si>
    <t>2057190544</t>
  </si>
  <si>
    <t>2057190719</t>
  </si>
  <si>
    <t>2057190817</t>
  </si>
  <si>
    <t>2057196271</t>
  </si>
  <si>
    <t>2057196275</t>
  </si>
  <si>
    <t>2057196426</t>
  </si>
  <si>
    <t>2057199429</t>
  </si>
  <si>
    <t>2057199447</t>
  </si>
  <si>
    <t>2057199821</t>
  </si>
  <si>
    <t>2057199822</t>
  </si>
  <si>
    <t>2057200319</t>
  </si>
  <si>
    <t>2057202107</t>
  </si>
  <si>
    <t>2057202541</t>
  </si>
  <si>
    <t>2057202682</t>
  </si>
  <si>
    <t>2057210363</t>
  </si>
  <si>
    <t>2057211099</t>
  </si>
  <si>
    <t>2057211654</t>
  </si>
  <si>
    <t>2057217457</t>
  </si>
  <si>
    <t>2057232263</t>
  </si>
  <si>
    <t>2057232365</t>
  </si>
  <si>
    <t>2057236470</t>
  </si>
  <si>
    <t>2057244132</t>
  </si>
  <si>
    <t>2057244138</t>
  </si>
  <si>
    <t>2057244950</t>
  </si>
  <si>
    <t>4400103407</t>
  </si>
  <si>
    <t>Agreement</t>
  </si>
  <si>
    <t>Settlement Partner</t>
  </si>
  <si>
    <t>Debit/Credit Ind.</t>
  </si>
  <si>
    <t>Vendor</t>
  </si>
  <si>
    <t>Baseline Payment Dte</t>
  </si>
  <si>
    <t>Profit Center</t>
  </si>
  <si>
    <t>Currency</t>
  </si>
  <si>
    <t>Amount</t>
  </si>
  <si>
    <t>MMC</t>
  </si>
  <si>
    <t>MMV</t>
  </si>
  <si>
    <t>MNR</t>
  </si>
  <si>
    <t>Nyack</t>
  </si>
  <si>
    <t>St. Luke</t>
  </si>
  <si>
    <t>WPH</t>
  </si>
  <si>
    <t>Burke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</si>
</sst>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0"/>
      <name val="Arial"/>
    </font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64" fontId="0" fillId="0" borderId="0" xfId="0" applyNumberFormat="1" applyAlignment="1">
      <alignment horizontal="right" vertical="top"/>
    </xf>
    <xf numFmtId="164" fontId="0" fillId="3" borderId="0" xfId="0" applyNumberFormat="1" applyFill="1" applyAlignment="1">
      <alignment vertical="top"/>
    </xf>
    <xf numFmtId="0" fontId="0" fillId="4" borderId="1" xfId="0" applyFill="1" applyBorder="1" applyAlignment="1">
      <alignment vertical="top"/>
    </xf>
    <xf numFmtId="44" fontId="0" fillId="0" borderId="0" xfId="0" applyNumberFormat="1" applyAlignment="1">
      <alignment vertical="top"/>
    </xf>
    <xf numFmtId="0" fontId="2" fillId="0" borderId="0" xfId="0" applyFont="1" applyAlignment="1">
      <alignment vertical="top"/>
    </xf>
    <xf numFmtId="44" fontId="0" fillId="0" borderId="0" xfId="1" applyFont="1" applyAlignment="1">
      <alignment vertical="top"/>
    </xf>
    <xf numFmtId="44" fontId="0" fillId="4" borderId="0" xfId="0" applyNumberFormat="1" applyFill="1" applyAlignment="1">
      <alignment vertical="top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98"/>
  <sheetViews>
    <sheetView tabSelected="1" topLeftCell="A65" workbookViewId="0">
      <selection activeCell="E152" sqref="E152"/>
    </sheetView>
  </sheetViews>
  <sheetFormatPr defaultRowHeight="12.75" x14ac:dyDescent="0.2"/>
  <cols>
    <col min="1" max="1" width="12" bestFit="1" customWidth="1"/>
    <col min="2" max="2" width="32" bestFit="1" customWidth="1"/>
    <col min="3" max="3" width="20" bestFit="1" customWidth="1"/>
    <col min="4" max="4" width="11" bestFit="1" customWidth="1"/>
    <col min="5" max="5" width="12" bestFit="1" customWidth="1"/>
    <col min="6" max="6" width="22" bestFit="1" customWidth="1"/>
    <col min="7" max="7" width="15" bestFit="1" customWidth="1"/>
    <col min="8" max="8" width="10" bestFit="1" customWidth="1"/>
    <col min="9" max="9" width="12.42578125" bestFit="1" customWidth="1"/>
    <col min="11" max="11" width="8" bestFit="1" customWidth="1"/>
    <col min="12" max="12" width="14" bestFit="1" customWidth="1"/>
  </cols>
  <sheetData>
    <row r="1" spans="1:12" ht="25.5" x14ac:dyDescent="0.2">
      <c r="A1" s="1" t="s">
        <v>72</v>
      </c>
      <c r="B1" s="1" t="s">
        <v>72</v>
      </c>
      <c r="C1" s="7" t="s">
        <v>73</v>
      </c>
      <c r="D1" s="4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</row>
    <row r="2" spans="1:12" hidden="1" x14ac:dyDescent="0.2">
      <c r="F2" s="2"/>
      <c r="I2" s="3"/>
    </row>
    <row r="3" spans="1:12" x14ac:dyDescent="0.2">
      <c r="A3" t="s">
        <v>0</v>
      </c>
      <c r="B3" t="s">
        <v>1</v>
      </c>
      <c r="C3" t="s">
        <v>2</v>
      </c>
      <c r="D3" t="s">
        <v>5</v>
      </c>
      <c r="E3" t="s">
        <v>6</v>
      </c>
      <c r="F3" s="2">
        <v>46031</v>
      </c>
      <c r="G3" t="s">
        <v>3</v>
      </c>
      <c r="H3" t="s">
        <v>4</v>
      </c>
      <c r="I3" s="5">
        <v>74.72</v>
      </c>
      <c r="K3" s="9"/>
      <c r="L3" s="10"/>
    </row>
    <row r="4" spans="1:12" hidden="1" x14ac:dyDescent="0.2">
      <c r="F4" s="2"/>
      <c r="I4" s="3"/>
      <c r="K4" s="9" t="s">
        <v>81</v>
      </c>
      <c r="L4" s="10">
        <v>7843.89</v>
      </c>
    </row>
    <row r="5" spans="1:12" x14ac:dyDescent="0.2">
      <c r="A5" t="s">
        <v>0</v>
      </c>
      <c r="B5" t="s">
        <v>1</v>
      </c>
      <c r="C5" t="s">
        <v>7</v>
      </c>
      <c r="D5" t="s">
        <v>5</v>
      </c>
      <c r="E5" t="s">
        <v>6</v>
      </c>
      <c r="F5" s="2">
        <v>46031</v>
      </c>
      <c r="G5" t="s">
        <v>3</v>
      </c>
      <c r="H5" t="s">
        <v>4</v>
      </c>
      <c r="I5" s="5">
        <v>128.56</v>
      </c>
      <c r="K5" s="9"/>
      <c r="L5" s="10"/>
    </row>
    <row r="6" spans="1:12" hidden="1" x14ac:dyDescent="0.2">
      <c r="F6" s="2"/>
      <c r="I6" s="3"/>
      <c r="K6" s="9" t="s">
        <v>83</v>
      </c>
      <c r="L6" s="10">
        <v>176547.01</v>
      </c>
    </row>
    <row r="7" spans="1:12" x14ac:dyDescent="0.2">
      <c r="A7" t="s">
        <v>0</v>
      </c>
      <c r="B7" t="s">
        <v>1</v>
      </c>
      <c r="C7" t="s">
        <v>8</v>
      </c>
      <c r="D7" t="s">
        <v>5</v>
      </c>
      <c r="E7" t="s">
        <v>6</v>
      </c>
      <c r="F7" s="2">
        <v>46031</v>
      </c>
      <c r="G7" t="s">
        <v>3</v>
      </c>
      <c r="H7" t="s">
        <v>4</v>
      </c>
      <c r="I7" s="5">
        <v>401109.84</v>
      </c>
      <c r="K7" s="9"/>
      <c r="L7" s="10"/>
    </row>
    <row r="8" spans="1:12" ht="12.75" hidden="1" customHeight="1" x14ac:dyDescent="0.2">
      <c r="F8" s="2"/>
      <c r="I8" s="3"/>
      <c r="K8" s="9" t="s">
        <v>85</v>
      </c>
      <c r="L8" s="10">
        <v>491190.02</v>
      </c>
    </row>
    <row r="9" spans="1:12" x14ac:dyDescent="0.2">
      <c r="A9" t="s">
        <v>0</v>
      </c>
      <c r="B9" t="s">
        <v>1</v>
      </c>
      <c r="C9" t="s">
        <v>9</v>
      </c>
      <c r="D9" t="s">
        <v>5</v>
      </c>
      <c r="E9" t="s">
        <v>6</v>
      </c>
      <c r="F9" s="2">
        <v>46031</v>
      </c>
      <c r="G9" t="s">
        <v>3</v>
      </c>
      <c r="H9" t="s">
        <v>4</v>
      </c>
      <c r="I9" s="5">
        <v>252.82</v>
      </c>
      <c r="K9" s="9"/>
      <c r="L9" s="10"/>
    </row>
    <row r="10" spans="1:12" ht="12.75" hidden="1" customHeight="1" x14ac:dyDescent="0.2">
      <c r="F10" s="2"/>
      <c r="I10" s="3"/>
      <c r="K10" s="9"/>
      <c r="L10" s="10">
        <v>3000000.0000000009</v>
      </c>
    </row>
    <row r="11" spans="1:12" x14ac:dyDescent="0.2">
      <c r="A11" t="s">
        <v>0</v>
      </c>
      <c r="B11" t="s">
        <v>1</v>
      </c>
      <c r="C11" t="s">
        <v>10</v>
      </c>
      <c r="D11" t="s">
        <v>5</v>
      </c>
      <c r="E11" t="s">
        <v>6</v>
      </c>
      <c r="F11" s="2">
        <v>46031</v>
      </c>
      <c r="G11" t="s">
        <v>3</v>
      </c>
      <c r="H11" t="s">
        <v>4</v>
      </c>
      <c r="I11" s="5">
        <v>60.09</v>
      </c>
      <c r="K11" s="9"/>
      <c r="L11" s="10"/>
    </row>
    <row r="12" spans="1:12" ht="12.75" hidden="1" customHeight="1" x14ac:dyDescent="0.2">
      <c r="F12" s="2"/>
      <c r="I12" s="3"/>
      <c r="K12" s="9" t="s">
        <v>83</v>
      </c>
      <c r="L12" s="10">
        <v>176547.01</v>
      </c>
    </row>
    <row r="13" spans="1:12" x14ac:dyDescent="0.2">
      <c r="A13" t="s">
        <v>0</v>
      </c>
      <c r="B13" t="s">
        <v>1</v>
      </c>
      <c r="C13" t="s">
        <v>11</v>
      </c>
      <c r="D13" t="s">
        <v>5</v>
      </c>
      <c r="E13" t="s">
        <v>6</v>
      </c>
      <c r="F13" s="2">
        <v>46031</v>
      </c>
      <c r="G13" t="s">
        <v>3</v>
      </c>
      <c r="H13" t="s">
        <v>4</v>
      </c>
      <c r="I13" s="5">
        <v>39.24</v>
      </c>
      <c r="K13" s="9"/>
      <c r="L13" s="10"/>
    </row>
    <row r="14" spans="1:12" ht="12.75" hidden="1" customHeight="1" x14ac:dyDescent="0.2">
      <c r="F14" s="2"/>
      <c r="I14" s="3"/>
      <c r="K14" s="9" t="s">
        <v>85</v>
      </c>
      <c r="L14" s="10">
        <v>491190.02</v>
      </c>
    </row>
    <row r="15" spans="1:12" x14ac:dyDescent="0.2">
      <c r="A15" t="s">
        <v>0</v>
      </c>
      <c r="B15" t="s">
        <v>1</v>
      </c>
      <c r="C15" t="s">
        <v>12</v>
      </c>
      <c r="D15" t="s">
        <v>5</v>
      </c>
      <c r="E15" t="s">
        <v>6</v>
      </c>
      <c r="F15" s="2">
        <v>46031</v>
      </c>
      <c r="G15" t="s">
        <v>3</v>
      </c>
      <c r="H15" t="s">
        <v>4</v>
      </c>
      <c r="I15" s="5">
        <v>232.73</v>
      </c>
      <c r="K15" s="9"/>
      <c r="L15" s="10"/>
    </row>
    <row r="16" spans="1:12" ht="12.75" hidden="1" customHeight="1" x14ac:dyDescent="0.2">
      <c r="F16" s="2"/>
      <c r="I16" s="3"/>
      <c r="L16" s="8">
        <f>SUM(L9:L15)</f>
        <v>3667737.0300000007</v>
      </c>
    </row>
    <row r="17" spans="1:11" x14ac:dyDescent="0.2">
      <c r="A17" t="s">
        <v>0</v>
      </c>
      <c r="B17" t="s">
        <v>1</v>
      </c>
      <c r="C17" t="s">
        <v>13</v>
      </c>
      <c r="D17" t="s">
        <v>5</v>
      </c>
      <c r="E17" t="s">
        <v>6</v>
      </c>
      <c r="F17" s="2">
        <v>46031</v>
      </c>
      <c r="G17" t="s">
        <v>3</v>
      </c>
      <c r="H17" t="s">
        <v>4</v>
      </c>
      <c r="I17" s="5">
        <v>118.62</v>
      </c>
      <c r="K17" s="9"/>
    </row>
    <row r="18" spans="1:11" ht="12.75" hidden="1" customHeight="1" x14ac:dyDescent="0.2">
      <c r="F18" s="2"/>
      <c r="I18" s="3"/>
    </row>
    <row r="19" spans="1:11" x14ac:dyDescent="0.2">
      <c r="A19" t="s">
        <v>0</v>
      </c>
      <c r="B19" t="s">
        <v>1</v>
      </c>
      <c r="C19" t="s">
        <v>14</v>
      </c>
      <c r="D19" t="s">
        <v>5</v>
      </c>
      <c r="E19" t="s">
        <v>6</v>
      </c>
      <c r="F19" s="2">
        <v>46031</v>
      </c>
      <c r="G19" t="s">
        <v>3</v>
      </c>
      <c r="H19" t="s">
        <v>4</v>
      </c>
      <c r="I19" s="5">
        <v>14481.2</v>
      </c>
    </row>
    <row r="20" spans="1:11" ht="12.75" hidden="1" customHeight="1" x14ac:dyDescent="0.2">
      <c r="F20" s="2"/>
      <c r="I20" s="3"/>
    </row>
    <row r="21" spans="1:11" x14ac:dyDescent="0.2">
      <c r="A21" t="s">
        <v>0</v>
      </c>
      <c r="B21" t="s">
        <v>1</v>
      </c>
      <c r="C21" t="s">
        <v>15</v>
      </c>
      <c r="D21" t="s">
        <v>5</v>
      </c>
      <c r="E21" t="s">
        <v>6</v>
      </c>
      <c r="F21" s="2">
        <v>46031</v>
      </c>
      <c r="G21" t="s">
        <v>3</v>
      </c>
      <c r="H21" t="s">
        <v>4</v>
      </c>
      <c r="I21" s="5">
        <v>-4.32</v>
      </c>
    </row>
    <row r="22" spans="1:11" ht="12.75" hidden="1" customHeight="1" x14ac:dyDescent="0.2">
      <c r="F22" s="2"/>
      <c r="I22" s="3"/>
    </row>
    <row r="23" spans="1:11" x14ac:dyDescent="0.2">
      <c r="A23" t="s">
        <v>0</v>
      </c>
      <c r="B23" t="s">
        <v>1</v>
      </c>
      <c r="C23" t="s">
        <v>16</v>
      </c>
      <c r="D23" t="s">
        <v>5</v>
      </c>
      <c r="E23" t="s">
        <v>6</v>
      </c>
      <c r="F23" s="2">
        <v>46031</v>
      </c>
      <c r="G23" t="s">
        <v>3</v>
      </c>
      <c r="H23" t="s">
        <v>4</v>
      </c>
      <c r="I23" s="5">
        <v>46710.01</v>
      </c>
    </row>
    <row r="24" spans="1:11" ht="12.75" hidden="1" customHeight="1" x14ac:dyDescent="0.2">
      <c r="F24" s="2"/>
      <c r="I24" s="3"/>
    </row>
    <row r="25" spans="1:11" x14ac:dyDescent="0.2">
      <c r="A25" t="s">
        <v>0</v>
      </c>
      <c r="B25" t="s">
        <v>1</v>
      </c>
      <c r="C25" t="s">
        <v>17</v>
      </c>
      <c r="D25" t="s">
        <v>5</v>
      </c>
      <c r="E25" t="s">
        <v>6</v>
      </c>
      <c r="F25" s="2">
        <v>46031</v>
      </c>
      <c r="G25" t="s">
        <v>3</v>
      </c>
      <c r="H25" t="s">
        <v>4</v>
      </c>
      <c r="I25" s="5">
        <v>1244.77</v>
      </c>
    </row>
    <row r="26" spans="1:11" ht="12.75" hidden="1" customHeight="1" x14ac:dyDescent="0.2">
      <c r="F26" s="2"/>
      <c r="I26" s="3"/>
    </row>
    <row r="27" spans="1:11" x14ac:dyDescent="0.2">
      <c r="A27" t="s">
        <v>0</v>
      </c>
      <c r="B27" t="s">
        <v>1</v>
      </c>
      <c r="C27" t="s">
        <v>18</v>
      </c>
      <c r="D27" t="s">
        <v>5</v>
      </c>
      <c r="E27" t="s">
        <v>6</v>
      </c>
      <c r="F27" s="2">
        <v>46031</v>
      </c>
      <c r="G27" t="s">
        <v>3</v>
      </c>
      <c r="H27" t="s">
        <v>4</v>
      </c>
      <c r="I27" s="5">
        <v>78479.38</v>
      </c>
    </row>
    <row r="28" spans="1:11" ht="12.75" hidden="1" customHeight="1" x14ac:dyDescent="0.2">
      <c r="F28" s="2"/>
      <c r="I28" s="3"/>
    </row>
    <row r="29" spans="1:11" x14ac:dyDescent="0.2">
      <c r="A29" t="s">
        <v>0</v>
      </c>
      <c r="B29" t="s">
        <v>1</v>
      </c>
      <c r="C29" t="s">
        <v>19</v>
      </c>
      <c r="D29" t="s">
        <v>5</v>
      </c>
      <c r="E29" t="s">
        <v>6</v>
      </c>
      <c r="F29" s="2">
        <v>46031</v>
      </c>
      <c r="G29" t="s">
        <v>3</v>
      </c>
      <c r="H29" t="s">
        <v>4</v>
      </c>
      <c r="I29" s="5">
        <v>12908.58</v>
      </c>
    </row>
    <row r="30" spans="1:11" ht="12.75" hidden="1" customHeight="1" x14ac:dyDescent="0.2">
      <c r="F30" s="2"/>
      <c r="I30" s="3"/>
    </row>
    <row r="31" spans="1:11" x14ac:dyDescent="0.2">
      <c r="A31" t="s">
        <v>0</v>
      </c>
      <c r="B31" t="s">
        <v>1</v>
      </c>
      <c r="C31" t="s">
        <v>20</v>
      </c>
      <c r="D31" t="s">
        <v>5</v>
      </c>
      <c r="E31" t="s">
        <v>6</v>
      </c>
      <c r="F31" s="2">
        <v>46031</v>
      </c>
      <c r="G31" t="s">
        <v>3</v>
      </c>
      <c r="H31" t="s">
        <v>4</v>
      </c>
      <c r="I31" s="5">
        <v>41.18</v>
      </c>
    </row>
    <row r="32" spans="1:11" ht="12.75" hidden="1" customHeight="1" x14ac:dyDescent="0.2">
      <c r="F32" s="2"/>
      <c r="I32" s="3"/>
    </row>
    <row r="33" spans="1:9" x14ac:dyDescent="0.2">
      <c r="A33" t="s">
        <v>0</v>
      </c>
      <c r="B33" t="s">
        <v>1</v>
      </c>
      <c r="C33" t="s">
        <v>21</v>
      </c>
      <c r="D33" t="s">
        <v>5</v>
      </c>
      <c r="E33" t="s">
        <v>6</v>
      </c>
      <c r="F33" s="2">
        <v>46031</v>
      </c>
      <c r="G33" t="s">
        <v>3</v>
      </c>
      <c r="H33" t="s">
        <v>4</v>
      </c>
      <c r="I33" s="5">
        <v>3415.84</v>
      </c>
    </row>
    <row r="34" spans="1:9" ht="12.75" hidden="1" customHeight="1" x14ac:dyDescent="0.2">
      <c r="F34" s="2"/>
      <c r="I34" s="3"/>
    </row>
    <row r="35" spans="1:9" x14ac:dyDescent="0.2">
      <c r="A35" t="s">
        <v>0</v>
      </c>
      <c r="B35" t="s">
        <v>1</v>
      </c>
      <c r="C35" t="s">
        <v>22</v>
      </c>
      <c r="D35" t="s">
        <v>5</v>
      </c>
      <c r="E35" t="s">
        <v>6</v>
      </c>
      <c r="F35" s="2">
        <v>46031</v>
      </c>
      <c r="G35" t="s">
        <v>3</v>
      </c>
      <c r="H35" t="s">
        <v>4</v>
      </c>
      <c r="I35" s="5">
        <v>48978.57</v>
      </c>
    </row>
    <row r="36" spans="1:9" ht="12.75" hidden="1" customHeight="1" x14ac:dyDescent="0.2">
      <c r="F36" s="2"/>
      <c r="I36" s="3"/>
    </row>
    <row r="37" spans="1:9" x14ac:dyDescent="0.2">
      <c r="A37" t="s">
        <v>0</v>
      </c>
      <c r="B37" t="s">
        <v>1</v>
      </c>
      <c r="C37" t="s">
        <v>23</v>
      </c>
      <c r="D37" t="s">
        <v>5</v>
      </c>
      <c r="E37" t="s">
        <v>6</v>
      </c>
      <c r="F37" s="2">
        <v>46031</v>
      </c>
      <c r="G37" t="s">
        <v>3</v>
      </c>
      <c r="H37" t="s">
        <v>4</v>
      </c>
      <c r="I37" s="5">
        <v>4763.95</v>
      </c>
    </row>
    <row r="38" spans="1:9" x14ac:dyDescent="0.2">
      <c r="A38" t="s">
        <v>0</v>
      </c>
      <c r="B38" t="s">
        <v>1</v>
      </c>
      <c r="C38" t="s">
        <v>24</v>
      </c>
      <c r="D38" t="s">
        <v>5</v>
      </c>
      <c r="E38" t="s">
        <v>6</v>
      </c>
      <c r="F38" s="2">
        <v>46031</v>
      </c>
      <c r="G38" t="s">
        <v>3</v>
      </c>
      <c r="H38" t="s">
        <v>4</v>
      </c>
      <c r="I38" s="5">
        <v>3113.23</v>
      </c>
    </row>
    <row r="39" spans="1:9" ht="12.75" hidden="1" customHeight="1" x14ac:dyDescent="0.2">
      <c r="F39" s="2"/>
      <c r="I39" s="3"/>
    </row>
    <row r="40" spans="1:9" hidden="1" x14ac:dyDescent="0.2">
      <c r="F40" s="2"/>
      <c r="I40" s="3"/>
    </row>
    <row r="41" spans="1:9" x14ac:dyDescent="0.2">
      <c r="A41" t="s">
        <v>0</v>
      </c>
      <c r="B41" t="s">
        <v>1</v>
      </c>
      <c r="C41" t="s">
        <v>25</v>
      </c>
      <c r="D41" t="s">
        <v>5</v>
      </c>
      <c r="E41" t="s">
        <v>6</v>
      </c>
      <c r="F41" s="2">
        <v>46031</v>
      </c>
      <c r="G41" t="s">
        <v>26</v>
      </c>
      <c r="H41" t="s">
        <v>4</v>
      </c>
      <c r="I41" s="5">
        <v>3.38</v>
      </c>
    </row>
    <row r="42" spans="1:9" hidden="1" x14ac:dyDescent="0.2">
      <c r="F42" s="2"/>
      <c r="I42" s="3"/>
    </row>
    <row r="43" spans="1:9" x14ac:dyDescent="0.2">
      <c r="A43" t="s">
        <v>0</v>
      </c>
      <c r="B43" t="s">
        <v>1</v>
      </c>
      <c r="C43" t="s">
        <v>25</v>
      </c>
      <c r="D43" t="s">
        <v>5</v>
      </c>
      <c r="E43" t="s">
        <v>6</v>
      </c>
      <c r="F43" s="2">
        <v>46031</v>
      </c>
      <c r="G43" t="s">
        <v>27</v>
      </c>
      <c r="H43" t="s">
        <v>4</v>
      </c>
      <c r="I43" s="5">
        <v>68.569999999999993</v>
      </c>
    </row>
    <row r="44" spans="1:9" hidden="1" x14ac:dyDescent="0.2">
      <c r="F44" s="2"/>
      <c r="I44" s="3"/>
    </row>
    <row r="45" spans="1:9" x14ac:dyDescent="0.2">
      <c r="A45" t="s">
        <v>0</v>
      </c>
      <c r="B45" t="s">
        <v>1</v>
      </c>
      <c r="C45" t="s">
        <v>25</v>
      </c>
      <c r="D45" t="s">
        <v>5</v>
      </c>
      <c r="E45" t="s">
        <v>6</v>
      </c>
      <c r="F45" s="2">
        <v>46031</v>
      </c>
      <c r="G45" t="s">
        <v>28</v>
      </c>
      <c r="H45" t="s">
        <v>4</v>
      </c>
      <c r="I45" s="5">
        <v>45.08</v>
      </c>
    </row>
    <row r="46" spans="1:9" hidden="1" x14ac:dyDescent="0.2">
      <c r="F46" s="2"/>
      <c r="I46" s="3"/>
    </row>
    <row r="47" spans="1:9" x14ac:dyDescent="0.2">
      <c r="A47" t="s">
        <v>0</v>
      </c>
      <c r="B47" t="s">
        <v>1</v>
      </c>
      <c r="C47" t="s">
        <v>25</v>
      </c>
      <c r="D47" t="s">
        <v>5</v>
      </c>
      <c r="E47" t="s">
        <v>6</v>
      </c>
      <c r="F47" s="2">
        <v>46031</v>
      </c>
      <c r="G47" t="s">
        <v>29</v>
      </c>
      <c r="H47" t="s">
        <v>4</v>
      </c>
      <c r="I47" s="5">
        <v>51.85</v>
      </c>
    </row>
    <row r="48" spans="1:9" hidden="1" x14ac:dyDescent="0.2">
      <c r="F48" s="2"/>
      <c r="I48" s="3"/>
    </row>
    <row r="49" spans="1:9" x14ac:dyDescent="0.2">
      <c r="A49" t="s">
        <v>0</v>
      </c>
      <c r="B49" t="s">
        <v>1</v>
      </c>
      <c r="C49" t="s">
        <v>25</v>
      </c>
      <c r="D49" t="s">
        <v>5</v>
      </c>
      <c r="E49" t="s">
        <v>6</v>
      </c>
      <c r="F49" s="2">
        <v>46031</v>
      </c>
      <c r="G49" t="s">
        <v>30</v>
      </c>
      <c r="H49" t="s">
        <v>4</v>
      </c>
      <c r="I49" s="5">
        <v>106.68</v>
      </c>
    </row>
    <row r="50" spans="1:9" hidden="1" x14ac:dyDescent="0.2">
      <c r="F50" s="2"/>
      <c r="I50" s="3"/>
    </row>
    <row r="51" spans="1:9" x14ac:dyDescent="0.2">
      <c r="A51" t="s">
        <v>0</v>
      </c>
      <c r="B51" t="s">
        <v>1</v>
      </c>
      <c r="C51" t="s">
        <v>25</v>
      </c>
      <c r="D51" t="s">
        <v>5</v>
      </c>
      <c r="E51" t="s">
        <v>6</v>
      </c>
      <c r="F51" s="2">
        <v>46031</v>
      </c>
      <c r="G51" t="s">
        <v>3</v>
      </c>
      <c r="H51" t="s">
        <v>4</v>
      </c>
      <c r="I51" s="5">
        <v>504249.39</v>
      </c>
    </row>
    <row r="52" spans="1:9" hidden="1" x14ac:dyDescent="0.2">
      <c r="F52" s="2"/>
      <c r="I52" s="3"/>
    </row>
    <row r="53" spans="1:9" x14ac:dyDescent="0.2">
      <c r="A53" t="s">
        <v>0</v>
      </c>
      <c r="B53" t="s">
        <v>1</v>
      </c>
      <c r="C53" t="s">
        <v>31</v>
      </c>
      <c r="D53" t="s">
        <v>5</v>
      </c>
      <c r="E53" t="s">
        <v>6</v>
      </c>
      <c r="F53" s="2">
        <v>46031</v>
      </c>
      <c r="G53" t="s">
        <v>3</v>
      </c>
      <c r="H53" t="s">
        <v>4</v>
      </c>
      <c r="I53" s="5">
        <v>16836.04</v>
      </c>
    </row>
    <row r="54" spans="1:9" hidden="1" x14ac:dyDescent="0.2">
      <c r="F54" s="2"/>
      <c r="I54" s="3"/>
    </row>
    <row r="55" spans="1:9" x14ac:dyDescent="0.2">
      <c r="A55" t="s">
        <v>0</v>
      </c>
      <c r="B55" t="s">
        <v>1</v>
      </c>
      <c r="C55" t="s">
        <v>32</v>
      </c>
      <c r="D55" t="s">
        <v>5</v>
      </c>
      <c r="E55" t="s">
        <v>6</v>
      </c>
      <c r="F55" s="2">
        <v>46031</v>
      </c>
      <c r="G55" t="s">
        <v>33</v>
      </c>
      <c r="H55" t="s">
        <v>4</v>
      </c>
      <c r="I55" s="5">
        <v>53.97</v>
      </c>
    </row>
    <row r="56" spans="1:9" hidden="1" x14ac:dyDescent="0.2">
      <c r="F56" s="2"/>
      <c r="I56" s="3"/>
    </row>
    <row r="57" spans="1:9" x14ac:dyDescent="0.2">
      <c r="A57" t="s">
        <v>0</v>
      </c>
      <c r="B57" t="s">
        <v>1</v>
      </c>
      <c r="C57" t="s">
        <v>32</v>
      </c>
      <c r="D57" t="s">
        <v>5</v>
      </c>
      <c r="E57" t="s">
        <v>6</v>
      </c>
      <c r="F57" s="2">
        <v>46031</v>
      </c>
      <c r="G57" t="s">
        <v>34</v>
      </c>
      <c r="H57" t="s">
        <v>4</v>
      </c>
      <c r="I57" s="5">
        <v>327.07</v>
      </c>
    </row>
    <row r="58" spans="1:9" hidden="1" x14ac:dyDescent="0.2">
      <c r="F58" s="2"/>
      <c r="I58" s="3"/>
    </row>
    <row r="59" spans="1:9" x14ac:dyDescent="0.2">
      <c r="A59" t="s">
        <v>0</v>
      </c>
      <c r="B59" t="s">
        <v>1</v>
      </c>
      <c r="C59" t="s">
        <v>32</v>
      </c>
      <c r="D59" t="s">
        <v>5</v>
      </c>
      <c r="E59" t="s">
        <v>6</v>
      </c>
      <c r="F59" s="2">
        <v>46031</v>
      </c>
      <c r="G59" t="s">
        <v>28</v>
      </c>
      <c r="H59" t="s">
        <v>4</v>
      </c>
      <c r="I59" s="5">
        <v>688.83</v>
      </c>
    </row>
    <row r="60" spans="1:9" hidden="1" x14ac:dyDescent="0.2">
      <c r="F60" s="2"/>
      <c r="I60" s="3"/>
    </row>
    <row r="61" spans="1:9" x14ac:dyDescent="0.2">
      <c r="A61" t="s">
        <v>0</v>
      </c>
      <c r="B61" t="s">
        <v>1</v>
      </c>
      <c r="C61" t="s">
        <v>32</v>
      </c>
      <c r="D61" t="s">
        <v>5</v>
      </c>
      <c r="E61" t="s">
        <v>6</v>
      </c>
      <c r="F61" s="2">
        <v>46031</v>
      </c>
      <c r="G61" t="s">
        <v>30</v>
      </c>
      <c r="H61" t="s">
        <v>4</v>
      </c>
      <c r="I61" s="5">
        <v>1241.54</v>
      </c>
    </row>
    <row r="62" spans="1:9" hidden="1" x14ac:dyDescent="0.2">
      <c r="F62" s="2"/>
      <c r="I62" s="3"/>
    </row>
    <row r="63" spans="1:9" x14ac:dyDescent="0.2">
      <c r="A63" t="s">
        <v>0</v>
      </c>
      <c r="B63" t="s">
        <v>1</v>
      </c>
      <c r="C63" t="s">
        <v>32</v>
      </c>
      <c r="D63" t="s">
        <v>5</v>
      </c>
      <c r="E63" t="s">
        <v>6</v>
      </c>
      <c r="F63" s="2">
        <v>46031</v>
      </c>
      <c r="G63" t="s">
        <v>35</v>
      </c>
      <c r="H63" t="s">
        <v>4</v>
      </c>
      <c r="I63" s="5">
        <v>5.31</v>
      </c>
    </row>
    <row r="64" spans="1:9" hidden="1" x14ac:dyDescent="0.2">
      <c r="F64" s="2"/>
      <c r="I64" s="3"/>
    </row>
    <row r="65" spans="1:9" x14ac:dyDescent="0.2">
      <c r="A65" t="s">
        <v>0</v>
      </c>
      <c r="B65" t="s">
        <v>1</v>
      </c>
      <c r="C65" t="s">
        <v>32</v>
      </c>
      <c r="D65" t="s">
        <v>5</v>
      </c>
      <c r="E65" t="s">
        <v>6</v>
      </c>
      <c r="F65" s="2">
        <v>46031</v>
      </c>
      <c r="G65" t="s">
        <v>3</v>
      </c>
      <c r="H65" t="s">
        <v>4</v>
      </c>
      <c r="I65" s="5">
        <v>151573.76999999999</v>
      </c>
    </row>
    <row r="66" spans="1:9" hidden="1" x14ac:dyDescent="0.2">
      <c r="F66" s="2"/>
      <c r="I66" s="3"/>
    </row>
    <row r="67" spans="1:9" x14ac:dyDescent="0.2">
      <c r="A67" t="s">
        <v>0</v>
      </c>
      <c r="B67" t="s">
        <v>1</v>
      </c>
      <c r="C67" t="s">
        <v>36</v>
      </c>
      <c r="D67" t="s">
        <v>5</v>
      </c>
      <c r="E67" t="s">
        <v>6</v>
      </c>
      <c r="F67" s="2">
        <v>46031</v>
      </c>
      <c r="G67" t="s">
        <v>33</v>
      </c>
      <c r="H67" t="s">
        <v>4</v>
      </c>
      <c r="I67" s="5">
        <v>500.59</v>
      </c>
    </row>
    <row r="68" spans="1:9" hidden="1" x14ac:dyDescent="0.2">
      <c r="F68" s="2"/>
      <c r="I68" s="3"/>
    </row>
    <row r="69" spans="1:9" x14ac:dyDescent="0.2">
      <c r="A69" t="s">
        <v>0</v>
      </c>
      <c r="B69" t="s">
        <v>1</v>
      </c>
      <c r="C69" t="s">
        <v>36</v>
      </c>
      <c r="D69" t="s">
        <v>5</v>
      </c>
      <c r="E69" t="s">
        <v>6</v>
      </c>
      <c r="F69" s="2">
        <v>46031</v>
      </c>
      <c r="G69" t="s">
        <v>37</v>
      </c>
      <c r="H69" t="s">
        <v>4</v>
      </c>
      <c r="I69" s="5">
        <v>437.31</v>
      </c>
    </row>
    <row r="70" spans="1:9" hidden="1" x14ac:dyDescent="0.2">
      <c r="F70" s="2"/>
      <c r="I70" s="3"/>
    </row>
    <row r="71" spans="1:9" x14ac:dyDescent="0.2">
      <c r="A71" t="s">
        <v>0</v>
      </c>
      <c r="B71" t="s">
        <v>1</v>
      </c>
      <c r="C71" t="s">
        <v>36</v>
      </c>
      <c r="D71" t="s">
        <v>5</v>
      </c>
      <c r="E71" t="s">
        <v>6</v>
      </c>
      <c r="F71" s="2">
        <v>46031</v>
      </c>
      <c r="G71" t="s">
        <v>27</v>
      </c>
      <c r="H71" t="s">
        <v>4</v>
      </c>
      <c r="I71" s="5">
        <v>10.35</v>
      </c>
    </row>
    <row r="72" spans="1:9" hidden="1" x14ac:dyDescent="0.2">
      <c r="F72" s="2"/>
      <c r="I72" s="3"/>
    </row>
    <row r="73" spans="1:9" x14ac:dyDescent="0.2">
      <c r="A73" t="s">
        <v>0</v>
      </c>
      <c r="B73" t="s">
        <v>1</v>
      </c>
      <c r="C73" t="s">
        <v>36</v>
      </c>
      <c r="D73" t="s">
        <v>5</v>
      </c>
      <c r="E73" t="s">
        <v>6</v>
      </c>
      <c r="F73" s="2">
        <v>46031</v>
      </c>
      <c r="G73" t="s">
        <v>34</v>
      </c>
      <c r="H73" t="s">
        <v>4</v>
      </c>
      <c r="I73" s="5">
        <v>1465.82</v>
      </c>
    </row>
    <row r="74" spans="1:9" hidden="1" x14ac:dyDescent="0.2">
      <c r="F74" s="2"/>
      <c r="I74" s="3"/>
    </row>
    <row r="75" spans="1:9" x14ac:dyDescent="0.2">
      <c r="A75" t="s">
        <v>0</v>
      </c>
      <c r="B75" t="s">
        <v>1</v>
      </c>
      <c r="C75" t="s">
        <v>36</v>
      </c>
      <c r="D75" t="s">
        <v>5</v>
      </c>
      <c r="E75" t="s">
        <v>6</v>
      </c>
      <c r="F75" s="2">
        <v>46031</v>
      </c>
      <c r="G75" t="s">
        <v>28</v>
      </c>
      <c r="H75" t="s">
        <v>4</v>
      </c>
      <c r="I75" s="5">
        <v>0.04</v>
      </c>
    </row>
    <row r="76" spans="1:9" hidden="1" x14ac:dyDescent="0.2">
      <c r="F76" s="2"/>
      <c r="I76" s="3"/>
    </row>
    <row r="77" spans="1:9" x14ac:dyDescent="0.2">
      <c r="A77" t="s">
        <v>0</v>
      </c>
      <c r="B77" t="s">
        <v>1</v>
      </c>
      <c r="C77" t="s">
        <v>36</v>
      </c>
      <c r="D77" t="s">
        <v>5</v>
      </c>
      <c r="E77" t="s">
        <v>6</v>
      </c>
      <c r="F77" s="2">
        <v>46031</v>
      </c>
      <c r="G77" t="s">
        <v>29</v>
      </c>
      <c r="H77" t="s">
        <v>4</v>
      </c>
      <c r="I77" s="5">
        <v>8.59</v>
      </c>
    </row>
    <row r="78" spans="1:9" hidden="1" x14ac:dyDescent="0.2">
      <c r="F78" s="2"/>
      <c r="I78" s="3"/>
    </row>
    <row r="79" spans="1:9" x14ac:dyDescent="0.2">
      <c r="A79" t="s">
        <v>0</v>
      </c>
      <c r="B79" t="s">
        <v>1</v>
      </c>
      <c r="C79" t="s">
        <v>36</v>
      </c>
      <c r="D79" t="s">
        <v>5</v>
      </c>
      <c r="E79" t="s">
        <v>6</v>
      </c>
      <c r="F79" s="2">
        <v>46031</v>
      </c>
      <c r="G79" t="s">
        <v>30</v>
      </c>
      <c r="H79" t="s">
        <v>4</v>
      </c>
      <c r="I79" s="5">
        <v>5516.68</v>
      </c>
    </row>
    <row r="80" spans="1:9" hidden="1" x14ac:dyDescent="0.2">
      <c r="F80" s="2"/>
      <c r="I80" s="3"/>
    </row>
    <row r="81" spans="1:9" x14ac:dyDescent="0.2">
      <c r="A81" t="s">
        <v>0</v>
      </c>
      <c r="B81" t="s">
        <v>1</v>
      </c>
      <c r="C81" t="s">
        <v>36</v>
      </c>
      <c r="D81" t="s">
        <v>5</v>
      </c>
      <c r="E81" t="s">
        <v>6</v>
      </c>
      <c r="F81" s="2">
        <v>46031</v>
      </c>
      <c r="G81" t="s">
        <v>3</v>
      </c>
      <c r="H81" t="s">
        <v>4</v>
      </c>
      <c r="I81" s="5">
        <v>531572.93999999994</v>
      </c>
    </row>
    <row r="82" spans="1:9" hidden="1" x14ac:dyDescent="0.2">
      <c r="F82" s="2"/>
      <c r="I82" s="3"/>
    </row>
    <row r="83" spans="1:9" x14ac:dyDescent="0.2">
      <c r="A83" t="s">
        <v>0</v>
      </c>
      <c r="B83" t="s">
        <v>1</v>
      </c>
      <c r="C83" t="s">
        <v>38</v>
      </c>
      <c r="D83" t="s">
        <v>5</v>
      </c>
      <c r="E83" t="s">
        <v>6</v>
      </c>
      <c r="F83" s="2">
        <v>46031</v>
      </c>
      <c r="G83" t="s">
        <v>3</v>
      </c>
      <c r="H83" t="s">
        <v>4</v>
      </c>
      <c r="I83" s="5">
        <v>7253.96</v>
      </c>
    </row>
    <row r="84" spans="1:9" hidden="1" x14ac:dyDescent="0.2">
      <c r="F84" s="2"/>
      <c r="I84" s="3"/>
    </row>
    <row r="85" spans="1:9" x14ac:dyDescent="0.2">
      <c r="A85" t="s">
        <v>0</v>
      </c>
      <c r="B85" t="s">
        <v>1</v>
      </c>
      <c r="C85" t="s">
        <v>39</v>
      </c>
      <c r="D85" t="s">
        <v>5</v>
      </c>
      <c r="E85" t="s">
        <v>6</v>
      </c>
      <c r="F85" s="2">
        <v>46031</v>
      </c>
      <c r="G85" t="s">
        <v>3</v>
      </c>
      <c r="H85" t="s">
        <v>4</v>
      </c>
      <c r="I85" s="5">
        <v>15394.47</v>
      </c>
    </row>
    <row r="86" spans="1:9" hidden="1" x14ac:dyDescent="0.2">
      <c r="F86" s="2"/>
      <c r="I86" s="3"/>
    </row>
    <row r="87" spans="1:9" x14ac:dyDescent="0.2">
      <c r="A87" t="s">
        <v>0</v>
      </c>
      <c r="B87" t="s">
        <v>1</v>
      </c>
      <c r="C87" t="s">
        <v>40</v>
      </c>
      <c r="D87" t="s">
        <v>5</v>
      </c>
      <c r="E87" t="s">
        <v>6</v>
      </c>
      <c r="F87" s="2">
        <v>46031</v>
      </c>
      <c r="G87" t="s">
        <v>3</v>
      </c>
      <c r="H87" t="s">
        <v>4</v>
      </c>
      <c r="I87" s="5">
        <v>268856.68</v>
      </c>
    </row>
    <row r="88" spans="1:9" hidden="1" x14ac:dyDescent="0.2">
      <c r="F88" s="2"/>
      <c r="I88" s="3"/>
    </row>
    <row r="89" spans="1:9" x14ac:dyDescent="0.2">
      <c r="A89" t="s">
        <v>0</v>
      </c>
      <c r="B89" t="s">
        <v>1</v>
      </c>
      <c r="C89" t="s">
        <v>41</v>
      </c>
      <c r="D89" t="s">
        <v>5</v>
      </c>
      <c r="E89" t="s">
        <v>6</v>
      </c>
      <c r="F89" s="2">
        <v>46031</v>
      </c>
      <c r="G89" t="s">
        <v>3</v>
      </c>
      <c r="H89" t="s">
        <v>4</v>
      </c>
      <c r="I89" s="5">
        <v>2325.0700000000002</v>
      </c>
    </row>
    <row r="90" spans="1:9" hidden="1" x14ac:dyDescent="0.2">
      <c r="F90" s="2"/>
      <c r="I90" s="3"/>
    </row>
    <row r="91" spans="1:9" x14ac:dyDescent="0.2">
      <c r="A91" t="s">
        <v>0</v>
      </c>
      <c r="B91" t="s">
        <v>1</v>
      </c>
      <c r="C91" t="s">
        <v>42</v>
      </c>
      <c r="D91" t="s">
        <v>5</v>
      </c>
      <c r="E91" t="s">
        <v>6</v>
      </c>
      <c r="F91" s="2">
        <v>46031</v>
      </c>
      <c r="G91" t="s">
        <v>3</v>
      </c>
      <c r="H91" t="s">
        <v>4</v>
      </c>
      <c r="I91" s="5">
        <v>69713.08</v>
      </c>
    </row>
    <row r="92" spans="1:9" hidden="1" x14ac:dyDescent="0.2">
      <c r="F92" s="2"/>
      <c r="I92" s="3"/>
    </row>
    <row r="93" spans="1:9" x14ac:dyDescent="0.2">
      <c r="A93" t="s">
        <v>0</v>
      </c>
      <c r="B93" t="s">
        <v>1</v>
      </c>
      <c r="C93" t="s">
        <v>43</v>
      </c>
      <c r="D93" t="s">
        <v>5</v>
      </c>
      <c r="E93" t="s">
        <v>6</v>
      </c>
      <c r="F93" s="2">
        <v>46031</v>
      </c>
      <c r="G93" t="s">
        <v>3</v>
      </c>
      <c r="H93" t="s">
        <v>4</v>
      </c>
      <c r="I93" s="5">
        <v>14328.83</v>
      </c>
    </row>
    <row r="94" spans="1:9" hidden="1" x14ac:dyDescent="0.2">
      <c r="F94" s="2"/>
      <c r="I94" s="3"/>
    </row>
    <row r="95" spans="1:9" x14ac:dyDescent="0.2">
      <c r="A95" t="s">
        <v>0</v>
      </c>
      <c r="B95" t="s">
        <v>1</v>
      </c>
      <c r="C95" t="s">
        <v>44</v>
      </c>
      <c r="D95" t="s">
        <v>5</v>
      </c>
      <c r="E95" t="s">
        <v>6</v>
      </c>
      <c r="F95" s="2">
        <v>46031</v>
      </c>
      <c r="G95" t="s">
        <v>3</v>
      </c>
      <c r="H95" t="s">
        <v>4</v>
      </c>
      <c r="I95" s="5">
        <v>44.13</v>
      </c>
    </row>
    <row r="96" spans="1:9" hidden="1" x14ac:dyDescent="0.2">
      <c r="F96" s="2"/>
      <c r="I96" s="3"/>
    </row>
    <row r="97" spans="1:9" x14ac:dyDescent="0.2">
      <c r="A97" t="s">
        <v>0</v>
      </c>
      <c r="B97" t="s">
        <v>1</v>
      </c>
      <c r="C97" t="s">
        <v>45</v>
      </c>
      <c r="D97" t="s">
        <v>5</v>
      </c>
      <c r="E97" t="s">
        <v>6</v>
      </c>
      <c r="F97" s="2">
        <v>46031</v>
      </c>
      <c r="G97" t="s">
        <v>3</v>
      </c>
      <c r="H97" t="s">
        <v>4</v>
      </c>
      <c r="I97" s="5">
        <v>250.72</v>
      </c>
    </row>
    <row r="98" spans="1:9" hidden="1" x14ac:dyDescent="0.2">
      <c r="F98" s="2"/>
      <c r="I98" s="3"/>
    </row>
    <row r="99" spans="1:9" x14ac:dyDescent="0.2">
      <c r="A99" t="s">
        <v>0</v>
      </c>
      <c r="B99" t="s">
        <v>1</v>
      </c>
      <c r="C99" t="s">
        <v>46</v>
      </c>
      <c r="D99" t="s">
        <v>5</v>
      </c>
      <c r="E99" t="s">
        <v>6</v>
      </c>
      <c r="F99" s="2">
        <v>46031</v>
      </c>
      <c r="G99" t="s">
        <v>3</v>
      </c>
      <c r="H99" t="s">
        <v>4</v>
      </c>
      <c r="I99" s="5">
        <v>18862.87</v>
      </c>
    </row>
    <row r="100" spans="1:9" hidden="1" x14ac:dyDescent="0.2">
      <c r="F100" s="2"/>
      <c r="I100" s="3"/>
    </row>
    <row r="101" spans="1:9" x14ac:dyDescent="0.2">
      <c r="A101" t="s">
        <v>0</v>
      </c>
      <c r="B101" t="s">
        <v>1</v>
      </c>
      <c r="C101" t="s">
        <v>47</v>
      </c>
      <c r="D101" t="s">
        <v>5</v>
      </c>
      <c r="E101" t="s">
        <v>6</v>
      </c>
      <c r="F101" s="2">
        <v>46031</v>
      </c>
      <c r="G101" t="s">
        <v>35</v>
      </c>
      <c r="H101" t="s">
        <v>4</v>
      </c>
      <c r="I101" s="5">
        <v>48.48</v>
      </c>
    </row>
    <row r="102" spans="1:9" hidden="1" x14ac:dyDescent="0.2">
      <c r="F102" s="2"/>
      <c r="I102" s="3"/>
    </row>
    <row r="103" spans="1:9" x14ac:dyDescent="0.2">
      <c r="A103" t="s">
        <v>0</v>
      </c>
      <c r="B103" t="s">
        <v>1</v>
      </c>
      <c r="C103" t="s">
        <v>48</v>
      </c>
      <c r="D103" t="s">
        <v>5</v>
      </c>
      <c r="E103" t="s">
        <v>6</v>
      </c>
      <c r="F103" s="2">
        <v>46031</v>
      </c>
      <c r="G103" t="s">
        <v>3</v>
      </c>
      <c r="H103" t="s">
        <v>4</v>
      </c>
      <c r="I103" s="5">
        <v>19098.52</v>
      </c>
    </row>
    <row r="104" spans="1:9" hidden="1" x14ac:dyDescent="0.2">
      <c r="F104" s="2"/>
      <c r="I104" s="3"/>
    </row>
    <row r="105" spans="1:9" x14ac:dyDescent="0.2">
      <c r="A105" t="s">
        <v>0</v>
      </c>
      <c r="B105" t="s">
        <v>1</v>
      </c>
      <c r="C105" t="s">
        <v>49</v>
      </c>
      <c r="D105" t="s">
        <v>5</v>
      </c>
      <c r="E105" t="s">
        <v>6</v>
      </c>
      <c r="F105" s="2">
        <v>46031</v>
      </c>
      <c r="G105" t="s">
        <v>3</v>
      </c>
      <c r="H105" t="s">
        <v>4</v>
      </c>
      <c r="I105" s="5">
        <v>13113.14</v>
      </c>
    </row>
    <row r="106" spans="1:9" hidden="1" x14ac:dyDescent="0.2">
      <c r="F106" s="2"/>
      <c r="I106" s="3"/>
    </row>
    <row r="107" spans="1:9" x14ac:dyDescent="0.2">
      <c r="A107" t="s">
        <v>0</v>
      </c>
      <c r="B107" t="s">
        <v>1</v>
      </c>
      <c r="C107" t="s">
        <v>50</v>
      </c>
      <c r="D107" t="s">
        <v>5</v>
      </c>
      <c r="E107" t="s">
        <v>6</v>
      </c>
      <c r="F107" s="2">
        <v>46031</v>
      </c>
      <c r="G107" t="s">
        <v>3</v>
      </c>
      <c r="H107" t="s">
        <v>4</v>
      </c>
      <c r="I107" s="5">
        <v>11068.45</v>
      </c>
    </row>
    <row r="108" spans="1:9" hidden="1" x14ac:dyDescent="0.2">
      <c r="F108" s="2"/>
      <c r="I108" s="3"/>
    </row>
    <row r="109" spans="1:9" x14ac:dyDescent="0.2">
      <c r="A109" t="s">
        <v>0</v>
      </c>
      <c r="B109" t="s">
        <v>1</v>
      </c>
      <c r="C109" t="s">
        <v>51</v>
      </c>
      <c r="D109" t="s">
        <v>5</v>
      </c>
      <c r="E109" t="s">
        <v>6</v>
      </c>
      <c r="F109" s="2">
        <v>46031</v>
      </c>
      <c r="G109" t="s">
        <v>35</v>
      </c>
      <c r="H109" t="s">
        <v>4</v>
      </c>
      <c r="I109" s="5">
        <v>42.25</v>
      </c>
    </row>
    <row r="110" spans="1:9" hidden="1" x14ac:dyDescent="0.2">
      <c r="F110" s="2"/>
      <c r="I110" s="3"/>
    </row>
    <row r="111" spans="1:9" x14ac:dyDescent="0.2">
      <c r="A111" t="s">
        <v>0</v>
      </c>
      <c r="B111" t="s">
        <v>1</v>
      </c>
      <c r="C111" t="s">
        <v>51</v>
      </c>
      <c r="D111" t="s">
        <v>5</v>
      </c>
      <c r="E111" t="s">
        <v>6</v>
      </c>
      <c r="F111" s="2">
        <v>46031</v>
      </c>
      <c r="G111" t="s">
        <v>3</v>
      </c>
      <c r="H111" t="s">
        <v>4</v>
      </c>
      <c r="I111" s="5">
        <v>15086.37</v>
      </c>
    </row>
    <row r="112" spans="1:9" hidden="1" x14ac:dyDescent="0.2">
      <c r="F112" s="2"/>
      <c r="I112" s="3"/>
    </row>
    <row r="113" spans="1:9" x14ac:dyDescent="0.2">
      <c r="A113" t="s">
        <v>0</v>
      </c>
      <c r="B113" t="s">
        <v>1</v>
      </c>
      <c r="C113" t="s">
        <v>52</v>
      </c>
      <c r="D113" t="s">
        <v>5</v>
      </c>
      <c r="E113" t="s">
        <v>6</v>
      </c>
      <c r="F113" s="2">
        <v>46031</v>
      </c>
      <c r="G113" t="s">
        <v>3</v>
      </c>
      <c r="H113" t="s">
        <v>4</v>
      </c>
      <c r="I113" s="5">
        <v>25.83</v>
      </c>
    </row>
    <row r="114" spans="1:9" x14ac:dyDescent="0.2">
      <c r="A114" t="s">
        <v>0</v>
      </c>
      <c r="B114" t="s">
        <v>1</v>
      </c>
      <c r="C114" t="s">
        <v>53</v>
      </c>
      <c r="D114" t="s">
        <v>5</v>
      </c>
      <c r="E114" t="s">
        <v>6</v>
      </c>
      <c r="F114" s="2">
        <v>46031</v>
      </c>
      <c r="G114" t="s">
        <v>3</v>
      </c>
      <c r="H114" t="s">
        <v>4</v>
      </c>
      <c r="I114" s="5">
        <v>484915.4</v>
      </c>
    </row>
    <row r="115" spans="1:9" hidden="1" x14ac:dyDescent="0.2">
      <c r="F115" s="2"/>
      <c r="I115" s="3"/>
    </row>
    <row r="116" spans="1:9" hidden="1" x14ac:dyDescent="0.2">
      <c r="F116" s="2"/>
      <c r="I116" s="3"/>
    </row>
    <row r="117" spans="1:9" x14ac:dyDescent="0.2">
      <c r="A117" t="s">
        <v>0</v>
      </c>
      <c r="B117" t="s">
        <v>1</v>
      </c>
      <c r="C117" t="s">
        <v>54</v>
      </c>
      <c r="D117" t="s">
        <v>5</v>
      </c>
      <c r="E117" t="s">
        <v>6</v>
      </c>
      <c r="F117" s="2">
        <v>46031</v>
      </c>
      <c r="G117" t="s">
        <v>3</v>
      </c>
      <c r="H117" t="s">
        <v>4</v>
      </c>
      <c r="I117" s="5">
        <v>19.38</v>
      </c>
    </row>
    <row r="118" spans="1:9" hidden="1" x14ac:dyDescent="0.2">
      <c r="F118" s="2"/>
      <c r="I118" s="3"/>
    </row>
    <row r="119" spans="1:9" x14ac:dyDescent="0.2">
      <c r="A119" t="s">
        <v>0</v>
      </c>
      <c r="B119" t="s">
        <v>1</v>
      </c>
      <c r="C119" t="s">
        <v>55</v>
      </c>
      <c r="D119" t="s">
        <v>5</v>
      </c>
      <c r="E119" t="s">
        <v>6</v>
      </c>
      <c r="F119" s="2">
        <v>46031</v>
      </c>
      <c r="G119" t="s">
        <v>3</v>
      </c>
      <c r="H119" t="s">
        <v>4</v>
      </c>
      <c r="I119" s="5">
        <v>129162.21</v>
      </c>
    </row>
    <row r="120" spans="1:9" hidden="1" x14ac:dyDescent="0.2">
      <c r="F120" s="2"/>
      <c r="I120" s="3"/>
    </row>
    <row r="121" spans="1:9" x14ac:dyDescent="0.2">
      <c r="A121" t="s">
        <v>0</v>
      </c>
      <c r="B121" t="s">
        <v>1</v>
      </c>
      <c r="C121" t="s">
        <v>56</v>
      </c>
      <c r="D121" t="s">
        <v>5</v>
      </c>
      <c r="E121" t="s">
        <v>6</v>
      </c>
      <c r="F121" s="2">
        <v>46031</v>
      </c>
      <c r="G121" t="s">
        <v>3</v>
      </c>
      <c r="H121" t="s">
        <v>4</v>
      </c>
      <c r="I121" s="5">
        <v>43261.48</v>
      </c>
    </row>
    <row r="122" spans="1:9" hidden="1" x14ac:dyDescent="0.2">
      <c r="F122" s="2"/>
      <c r="I122" s="3"/>
    </row>
    <row r="123" spans="1:9" x14ac:dyDescent="0.2">
      <c r="A123" t="s">
        <v>0</v>
      </c>
      <c r="B123" t="s">
        <v>1</v>
      </c>
      <c r="C123" t="s">
        <v>57</v>
      </c>
      <c r="D123" t="s">
        <v>5</v>
      </c>
      <c r="E123" t="s">
        <v>6</v>
      </c>
      <c r="F123" s="2">
        <v>46031</v>
      </c>
      <c r="G123" t="s">
        <v>3</v>
      </c>
      <c r="H123" t="s">
        <v>4</v>
      </c>
      <c r="I123" s="5">
        <v>17392.95</v>
      </c>
    </row>
    <row r="124" spans="1:9" hidden="1" x14ac:dyDescent="0.2">
      <c r="F124" s="2"/>
      <c r="I124" s="3"/>
    </row>
    <row r="125" spans="1:9" x14ac:dyDescent="0.2">
      <c r="A125" t="s">
        <v>0</v>
      </c>
      <c r="B125" t="s">
        <v>1</v>
      </c>
      <c r="C125" t="s">
        <v>58</v>
      </c>
      <c r="D125" t="s">
        <v>5</v>
      </c>
      <c r="E125" t="s">
        <v>6</v>
      </c>
      <c r="F125" s="2">
        <v>46031</v>
      </c>
      <c r="G125" t="s">
        <v>3</v>
      </c>
      <c r="H125" t="s">
        <v>4</v>
      </c>
      <c r="I125" s="5">
        <v>8454.57</v>
      </c>
    </row>
    <row r="126" spans="1:9" hidden="1" x14ac:dyDescent="0.2">
      <c r="F126" s="2"/>
      <c r="I126" s="3"/>
    </row>
    <row r="127" spans="1:9" x14ac:dyDescent="0.2">
      <c r="A127" t="s">
        <v>0</v>
      </c>
      <c r="B127" t="s">
        <v>1</v>
      </c>
      <c r="C127" t="s">
        <v>59</v>
      </c>
      <c r="D127" t="s">
        <v>5</v>
      </c>
      <c r="E127" t="s">
        <v>6</v>
      </c>
      <c r="F127" s="2">
        <v>46031</v>
      </c>
      <c r="G127" t="s">
        <v>3</v>
      </c>
      <c r="H127" t="s">
        <v>4</v>
      </c>
      <c r="I127" s="5">
        <v>8311.5</v>
      </c>
    </row>
    <row r="128" spans="1:9" hidden="1" x14ac:dyDescent="0.2">
      <c r="F128" s="2"/>
      <c r="I128" s="3"/>
    </row>
    <row r="129" spans="1:9" x14ac:dyDescent="0.2">
      <c r="A129" t="s">
        <v>0</v>
      </c>
      <c r="B129" t="s">
        <v>1</v>
      </c>
      <c r="C129" t="s">
        <v>60</v>
      </c>
      <c r="D129" t="s">
        <v>5</v>
      </c>
      <c r="E129" t="s">
        <v>6</v>
      </c>
      <c r="F129" s="2">
        <v>46031</v>
      </c>
      <c r="G129" t="s">
        <v>3</v>
      </c>
      <c r="H129" t="s">
        <v>4</v>
      </c>
      <c r="I129" s="5">
        <v>1882.39</v>
      </c>
    </row>
    <row r="130" spans="1:9" hidden="1" x14ac:dyDescent="0.2">
      <c r="F130" s="2"/>
      <c r="I130" s="3"/>
    </row>
    <row r="131" spans="1:9" x14ac:dyDescent="0.2">
      <c r="A131" t="s">
        <v>0</v>
      </c>
      <c r="B131" t="s">
        <v>1</v>
      </c>
      <c r="C131" t="s">
        <v>61</v>
      </c>
      <c r="D131" t="s">
        <v>5</v>
      </c>
      <c r="E131" t="s">
        <v>6</v>
      </c>
      <c r="F131" s="2">
        <v>46031</v>
      </c>
      <c r="G131" t="s">
        <v>3</v>
      </c>
      <c r="H131" t="s">
        <v>4</v>
      </c>
      <c r="I131" s="5">
        <v>2133.23</v>
      </c>
    </row>
    <row r="132" spans="1:9" hidden="1" x14ac:dyDescent="0.2">
      <c r="F132" s="2"/>
      <c r="I132" s="3"/>
    </row>
    <row r="133" spans="1:9" x14ac:dyDescent="0.2">
      <c r="A133" t="s">
        <v>0</v>
      </c>
      <c r="B133" t="s">
        <v>1</v>
      </c>
      <c r="C133" t="s">
        <v>62</v>
      </c>
      <c r="D133" t="s">
        <v>5</v>
      </c>
      <c r="E133" t="s">
        <v>6</v>
      </c>
      <c r="F133" s="2">
        <v>46031</v>
      </c>
      <c r="G133" t="s">
        <v>3</v>
      </c>
      <c r="H133" t="s">
        <v>4</v>
      </c>
      <c r="I133" s="5">
        <v>3379.53</v>
      </c>
    </row>
    <row r="134" spans="1:9" hidden="1" x14ac:dyDescent="0.2">
      <c r="F134" s="2"/>
      <c r="I134" s="3"/>
    </row>
    <row r="135" spans="1:9" x14ac:dyDescent="0.2">
      <c r="A135" t="s">
        <v>0</v>
      </c>
      <c r="B135" t="s">
        <v>1</v>
      </c>
      <c r="C135" t="s">
        <v>63</v>
      </c>
      <c r="D135" t="s">
        <v>5</v>
      </c>
      <c r="E135" t="s">
        <v>6</v>
      </c>
      <c r="F135" s="2">
        <v>46031</v>
      </c>
      <c r="G135" t="s">
        <v>3</v>
      </c>
      <c r="H135" t="s">
        <v>4</v>
      </c>
      <c r="I135" s="5">
        <v>1952.63</v>
      </c>
    </row>
    <row r="136" spans="1:9" hidden="1" x14ac:dyDescent="0.2">
      <c r="F136" s="2"/>
      <c r="I136" s="3"/>
    </row>
    <row r="137" spans="1:9" x14ac:dyDescent="0.2">
      <c r="A137" t="s">
        <v>0</v>
      </c>
      <c r="B137" t="s">
        <v>1</v>
      </c>
      <c r="C137" t="s">
        <v>64</v>
      </c>
      <c r="D137" t="s">
        <v>5</v>
      </c>
      <c r="E137" t="s">
        <v>6</v>
      </c>
      <c r="F137" s="2">
        <v>46031</v>
      </c>
      <c r="G137" t="s">
        <v>3</v>
      </c>
      <c r="H137" t="s">
        <v>4</v>
      </c>
      <c r="I137" s="5">
        <v>1609.09</v>
      </c>
    </row>
    <row r="138" spans="1:9" hidden="1" x14ac:dyDescent="0.2">
      <c r="F138" s="2"/>
      <c r="I138" s="3"/>
    </row>
    <row r="139" spans="1:9" x14ac:dyDescent="0.2">
      <c r="A139" t="s">
        <v>0</v>
      </c>
      <c r="B139" t="s">
        <v>1</v>
      </c>
      <c r="C139" t="s">
        <v>65</v>
      </c>
      <c r="D139" t="s">
        <v>5</v>
      </c>
      <c r="E139" t="s">
        <v>6</v>
      </c>
      <c r="F139" s="2">
        <v>46031</v>
      </c>
      <c r="G139" t="s">
        <v>3</v>
      </c>
      <c r="H139" t="s">
        <v>4</v>
      </c>
      <c r="I139" s="5">
        <v>150.56</v>
      </c>
    </row>
    <row r="140" spans="1:9" hidden="1" x14ac:dyDescent="0.2">
      <c r="F140" s="2"/>
      <c r="I140" s="3"/>
    </row>
    <row r="141" spans="1:9" x14ac:dyDescent="0.2">
      <c r="A141" t="s">
        <v>0</v>
      </c>
      <c r="B141" t="s">
        <v>1</v>
      </c>
      <c r="C141" t="s">
        <v>66</v>
      </c>
      <c r="D141" t="s">
        <v>5</v>
      </c>
      <c r="E141" t="s">
        <v>6</v>
      </c>
      <c r="F141" s="2">
        <v>46031</v>
      </c>
      <c r="G141" t="s">
        <v>3</v>
      </c>
      <c r="H141" t="s">
        <v>4</v>
      </c>
      <c r="I141" s="5">
        <v>11.32</v>
      </c>
    </row>
    <row r="142" spans="1:9" hidden="1" x14ac:dyDescent="0.2">
      <c r="F142" s="2"/>
      <c r="I142" s="3"/>
    </row>
    <row r="143" spans="1:9" x14ac:dyDescent="0.2">
      <c r="A143" t="s">
        <v>0</v>
      </c>
      <c r="B143" t="s">
        <v>1</v>
      </c>
      <c r="C143" t="s">
        <v>67</v>
      </c>
      <c r="D143" t="s">
        <v>5</v>
      </c>
      <c r="E143" t="s">
        <v>6</v>
      </c>
      <c r="F143" s="2">
        <v>46031</v>
      </c>
      <c r="G143" t="s">
        <v>3</v>
      </c>
      <c r="H143" t="s">
        <v>4</v>
      </c>
      <c r="I143" s="5">
        <v>16.71</v>
      </c>
    </row>
    <row r="144" spans="1:9" hidden="1" x14ac:dyDescent="0.2">
      <c r="F144" s="2"/>
      <c r="I144" s="3"/>
    </row>
    <row r="145" spans="1:9" x14ac:dyDescent="0.2">
      <c r="A145" t="s">
        <v>0</v>
      </c>
      <c r="B145" t="s">
        <v>1</v>
      </c>
      <c r="C145" t="s">
        <v>68</v>
      </c>
      <c r="D145" t="s">
        <v>5</v>
      </c>
      <c r="E145" t="s">
        <v>6</v>
      </c>
      <c r="F145" s="2">
        <v>46031</v>
      </c>
      <c r="G145" t="s">
        <v>3</v>
      </c>
      <c r="H145" t="s">
        <v>4</v>
      </c>
      <c r="I145" s="5">
        <v>3044.95</v>
      </c>
    </row>
    <row r="146" spans="1:9" hidden="1" x14ac:dyDescent="0.2">
      <c r="F146" s="2"/>
      <c r="I146" s="3"/>
    </row>
    <row r="147" spans="1:9" x14ac:dyDescent="0.2">
      <c r="A147" t="s">
        <v>0</v>
      </c>
      <c r="B147" t="s">
        <v>1</v>
      </c>
      <c r="C147" t="s">
        <v>69</v>
      </c>
      <c r="D147" t="s">
        <v>5</v>
      </c>
      <c r="E147" t="s">
        <v>6</v>
      </c>
      <c r="F147" s="2">
        <v>46031</v>
      </c>
      <c r="G147" t="s">
        <v>3</v>
      </c>
      <c r="H147" t="s">
        <v>4</v>
      </c>
      <c r="I147" s="5">
        <v>2642.64</v>
      </c>
    </row>
    <row r="148" spans="1:9" hidden="1" x14ac:dyDescent="0.2">
      <c r="F148" s="2"/>
      <c r="I148" s="3"/>
    </row>
    <row r="149" spans="1:9" x14ac:dyDescent="0.2">
      <c r="A149" t="s">
        <v>0</v>
      </c>
      <c r="B149" t="s">
        <v>1</v>
      </c>
      <c r="C149" t="s">
        <v>70</v>
      </c>
      <c r="D149" t="s">
        <v>5</v>
      </c>
      <c r="E149" t="s">
        <v>6</v>
      </c>
      <c r="F149" s="2">
        <v>46031</v>
      </c>
      <c r="G149" t="s">
        <v>3</v>
      </c>
      <c r="H149" t="s">
        <v>4</v>
      </c>
      <c r="I149" s="5">
        <v>203.95</v>
      </c>
    </row>
    <row r="150" spans="1:9" hidden="1" x14ac:dyDescent="0.2">
      <c r="F150" s="2"/>
      <c r="I150" s="3"/>
    </row>
    <row r="151" spans="1:9" x14ac:dyDescent="0.2">
      <c r="A151" t="s">
        <v>0</v>
      </c>
      <c r="B151" t="s">
        <v>1</v>
      </c>
      <c r="C151" t="s">
        <v>71</v>
      </c>
      <c r="D151" t="s">
        <v>5</v>
      </c>
      <c r="E151" t="s">
        <v>6</v>
      </c>
      <c r="F151" s="2">
        <v>46031</v>
      </c>
      <c r="G151" t="s">
        <v>28</v>
      </c>
      <c r="H151" t="s">
        <v>4</v>
      </c>
      <c r="I151" s="5">
        <v>5029.8500000000004</v>
      </c>
    </row>
    <row r="152" spans="1:9" x14ac:dyDescent="0.2">
      <c r="I152" s="6">
        <f>SUBTOTAL(9,I3:I151)</f>
        <v>3000000.0000000009</v>
      </c>
    </row>
    <row r="153" spans="1:9" x14ac:dyDescent="0.2">
      <c r="F153" s="2"/>
      <c r="I153" s="5"/>
    </row>
    <row r="154" spans="1:9" x14ac:dyDescent="0.2">
      <c r="F154" s="2"/>
      <c r="I154" s="5"/>
    </row>
    <row r="155" spans="1:9" x14ac:dyDescent="0.2">
      <c r="B155" t="s">
        <v>80</v>
      </c>
      <c r="C155" s="8">
        <v>2224517.54</v>
      </c>
      <c r="F155" s="2"/>
      <c r="I155" s="5"/>
    </row>
    <row r="156" spans="1:9" x14ac:dyDescent="0.2">
      <c r="B156" t="s">
        <v>81</v>
      </c>
      <c r="C156" s="8">
        <v>7843.89</v>
      </c>
      <c r="F156" s="2"/>
      <c r="I156" s="5"/>
    </row>
    <row r="157" spans="1:9" x14ac:dyDescent="0.2">
      <c r="B157" t="s">
        <v>82</v>
      </c>
      <c r="C157" s="8">
        <v>13643.66</v>
      </c>
      <c r="F157" s="2"/>
      <c r="I157" s="5"/>
    </row>
    <row r="158" spans="1:9" x14ac:dyDescent="0.2">
      <c r="B158" t="s">
        <v>83</v>
      </c>
      <c r="C158" s="8">
        <v>176547.01</v>
      </c>
      <c r="F158" s="2"/>
      <c r="I158" s="5"/>
    </row>
    <row r="159" spans="1:9" x14ac:dyDescent="0.2">
      <c r="B159" t="s">
        <v>84</v>
      </c>
      <c r="C159" s="8">
        <v>75189.430000000008</v>
      </c>
      <c r="F159" s="2"/>
      <c r="I159" s="5"/>
    </row>
    <row r="160" spans="1:9" x14ac:dyDescent="0.2">
      <c r="B160" t="s">
        <v>85</v>
      </c>
      <c r="C160" s="8">
        <v>491190.02</v>
      </c>
      <c r="F160" s="2"/>
      <c r="I160" s="5"/>
    </row>
    <row r="161" spans="2:9" x14ac:dyDescent="0.2">
      <c r="B161" t="s">
        <v>86</v>
      </c>
      <c r="C161" s="8">
        <v>11068.45</v>
      </c>
      <c r="F161" s="2"/>
      <c r="I161" s="5"/>
    </row>
    <row r="162" spans="2:9" x14ac:dyDescent="0.2">
      <c r="C162" s="11">
        <v>3000000.0000000009</v>
      </c>
      <c r="F162" s="2"/>
      <c r="I162" s="5"/>
    </row>
    <row r="163" spans="2:9" x14ac:dyDescent="0.2">
      <c r="F163" s="2"/>
      <c r="I163" s="5"/>
    </row>
    <row r="164" spans="2:9" x14ac:dyDescent="0.2">
      <c r="F164" s="2"/>
      <c r="I164" s="5"/>
    </row>
    <row r="165" spans="2:9" x14ac:dyDescent="0.2">
      <c r="F165" s="2"/>
      <c r="I165" s="5"/>
    </row>
    <row r="166" spans="2:9" x14ac:dyDescent="0.2">
      <c r="F166" s="2"/>
      <c r="I166" s="5"/>
    </row>
    <row r="167" spans="2:9" x14ac:dyDescent="0.2">
      <c r="F167" s="2"/>
      <c r="I167" s="5"/>
    </row>
    <row r="168" spans="2:9" x14ac:dyDescent="0.2">
      <c r="F168" s="2"/>
      <c r="I168" s="5"/>
    </row>
    <row r="169" spans="2:9" x14ac:dyDescent="0.2">
      <c r="F169" s="2"/>
      <c r="I169" s="5"/>
    </row>
    <row r="170" spans="2:9" x14ac:dyDescent="0.2">
      <c r="F170" s="2"/>
      <c r="I170" s="5"/>
    </row>
    <row r="171" spans="2:9" x14ac:dyDescent="0.2">
      <c r="F171" s="2"/>
      <c r="I171" s="5"/>
    </row>
    <row r="172" spans="2:9" x14ac:dyDescent="0.2">
      <c r="F172" s="2"/>
      <c r="I172" s="5"/>
    </row>
    <row r="173" spans="2:9" x14ac:dyDescent="0.2">
      <c r="F173" s="2"/>
      <c r="I173" s="5"/>
    </row>
    <row r="174" spans="2:9" x14ac:dyDescent="0.2">
      <c r="F174" s="2"/>
      <c r="I174" s="5"/>
    </row>
    <row r="175" spans="2:9" x14ac:dyDescent="0.2">
      <c r="F175" s="2"/>
      <c r="I175" s="5"/>
    </row>
    <row r="176" spans="2:9" x14ac:dyDescent="0.2">
      <c r="F176" s="2"/>
      <c r="I176" s="5"/>
    </row>
    <row r="177" spans="6:9" x14ac:dyDescent="0.2">
      <c r="F177" s="2"/>
      <c r="I177" s="5"/>
    </row>
    <row r="178" spans="6:9" x14ac:dyDescent="0.2">
      <c r="F178" s="2"/>
      <c r="I178" s="5"/>
    </row>
    <row r="179" spans="6:9" x14ac:dyDescent="0.2">
      <c r="F179" s="2"/>
      <c r="I179" s="5"/>
    </row>
    <row r="180" spans="6:9" x14ac:dyDescent="0.2">
      <c r="F180" s="2"/>
      <c r="I180" s="5"/>
    </row>
    <row r="181" spans="6:9" x14ac:dyDescent="0.2">
      <c r="F181" s="2"/>
      <c r="I181" s="5"/>
    </row>
    <row r="182" spans="6:9" x14ac:dyDescent="0.2">
      <c r="F182" s="2"/>
      <c r="I182" s="5"/>
    </row>
    <row r="183" spans="6:9" x14ac:dyDescent="0.2">
      <c r="F183" s="2"/>
      <c r="I183" s="5"/>
    </row>
    <row r="184" spans="6:9" x14ac:dyDescent="0.2">
      <c r="F184" s="2"/>
      <c r="I184" s="5"/>
    </row>
    <row r="185" spans="6:9" x14ac:dyDescent="0.2">
      <c r="F185" s="2"/>
      <c r="I185" s="5"/>
    </row>
    <row r="186" spans="6:9" x14ac:dyDescent="0.2">
      <c r="F186" s="2"/>
      <c r="I186" s="5"/>
    </row>
    <row r="187" spans="6:9" x14ac:dyDescent="0.2">
      <c r="F187" s="2"/>
      <c r="I187" s="5"/>
    </row>
    <row r="188" spans="6:9" x14ac:dyDescent="0.2">
      <c r="F188" s="2"/>
      <c r="I188" s="5"/>
    </row>
    <row r="189" spans="6:9" x14ac:dyDescent="0.2">
      <c r="F189" s="2"/>
      <c r="I189" s="5"/>
    </row>
    <row r="190" spans="6:9" x14ac:dyDescent="0.2">
      <c r="F190" s="2"/>
      <c r="I190" s="5"/>
    </row>
    <row r="191" spans="6:9" x14ac:dyDescent="0.2">
      <c r="F191" s="2"/>
      <c r="I191" s="5"/>
    </row>
    <row r="192" spans="6:9" x14ac:dyDescent="0.2">
      <c r="F192" s="2"/>
      <c r="I192" s="5"/>
    </row>
    <row r="193" spans="6:9" x14ac:dyDescent="0.2">
      <c r="F193" s="2"/>
      <c r="I193" s="5"/>
    </row>
    <row r="194" spans="6:9" x14ac:dyDescent="0.2">
      <c r="F194" s="2"/>
      <c r="I194" s="5"/>
    </row>
    <row r="195" spans="6:9" x14ac:dyDescent="0.2">
      <c r="F195" s="2"/>
      <c r="I195" s="5"/>
    </row>
    <row r="196" spans="6:9" x14ac:dyDescent="0.2">
      <c r="F196" s="2"/>
      <c r="I196" s="5"/>
    </row>
    <row r="197" spans="6:9" x14ac:dyDescent="0.2">
      <c r="F197" s="2"/>
      <c r="I197" s="5"/>
    </row>
    <row r="198" spans="6:9" x14ac:dyDescent="0.2">
      <c r="F198" s="2"/>
      <c r="I198" s="5"/>
    </row>
  </sheetData>
  <autoFilter ref="A1:I151" xr:uid="{00000000-0001-0000-0000-000000000000}">
    <filterColumn colId="3">
      <customFilters>
        <customFilter operator="notEqual" val=" "/>
      </custom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Min Than</cp:lastModifiedBy>
  <cp:revision>1</cp:revision>
  <dcterms:created xsi:type="dcterms:W3CDTF">2026-01-27T15:12:26Z</dcterms:created>
  <dcterms:modified xsi:type="dcterms:W3CDTF">2026-01-30T16:44:56Z</dcterms:modified>
  <cp:category/>
</cp:coreProperties>
</file>