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montefioreorg-my.sharepoint.com/personal/mthan_montefiore_org/Documents/saving initiatives/rebate/Lantheus/"/>
    </mc:Choice>
  </mc:AlternateContent>
  <xr:revisionPtr revIDLastSave="16" documentId="8_{14BFC795-B173-4782-A001-1DD624FB2857}" xr6:coauthVersionLast="47" xr6:coauthVersionMax="47" xr10:uidLastSave="{54D06CCC-EC7C-4AF6-A2CB-AD95D8ADCE75}"/>
  <bookViews>
    <workbookView xWindow="-120" yWindow="-120" windowWidth="38640" windowHeight="21120" firstSheet="3" activeTab="5" xr2:uid="{54B6ED37-1801-4AC5-9677-1F7A6B14A3ED}"/>
  </bookViews>
  <sheets>
    <sheet name="Rebate Summary" sheetId="1" r:id="rId1"/>
    <sheet name="Volume Rebate Oct - Dec 2024" sheetId="2" r:id="rId2"/>
    <sheet name="Volume Rebate Jan - March 2025" sheetId="3" r:id="rId3"/>
    <sheet name="Volume Rebate April 2025" sheetId="4" r:id="rId4"/>
    <sheet name="Volume Rebate May - July 2025" sheetId="5" r:id="rId5"/>
    <sheet name="Volume Reabte Aug - Oct 2025"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6" l="1"/>
  <c r="I7" i="2"/>
  <c r="H7" i="2"/>
  <c r="F7" i="2"/>
  <c r="I7" i="3"/>
  <c r="H7" i="3"/>
  <c r="F7" i="3"/>
  <c r="I8" i="4"/>
  <c r="H8" i="4"/>
  <c r="F8" i="4"/>
  <c r="I8" i="6" l="1"/>
  <c r="H8" i="6"/>
  <c r="F8" i="6"/>
  <c r="I8" i="5"/>
  <c r="H8" i="5"/>
  <c r="F8" i="5"/>
  <c r="M7" i="1" l="1"/>
  <c r="F7" i="1"/>
  <c r="M6" i="1"/>
  <c r="F6" i="1"/>
  <c r="M5" i="1"/>
  <c r="F5" i="1"/>
  <c r="M4" i="1"/>
  <c r="F4" i="1"/>
</calcChain>
</file>

<file path=xl/sharedStrings.xml><?xml version="1.0" encoding="utf-8"?>
<sst xmlns="http://schemas.openxmlformats.org/spreadsheetml/2006/main" count="210" uniqueCount="74">
  <si>
    <t>Customer</t>
  </si>
  <si>
    <t xml:space="preserve">Rebate </t>
  </si>
  <si>
    <t xml:space="preserve"> Doses</t>
  </si>
  <si>
    <t>Net Revenue</t>
  </si>
  <si>
    <t>Rebate Payment</t>
  </si>
  <si>
    <t>Rebate program</t>
  </si>
  <si>
    <t>Start</t>
  </si>
  <si>
    <t>End</t>
  </si>
  <si>
    <t>Paid</t>
  </si>
  <si>
    <t>Paod</t>
  </si>
  <si>
    <t>Achieved</t>
  </si>
  <si>
    <t>Actual</t>
  </si>
  <si>
    <t>ACH Number</t>
  </si>
  <si>
    <t>004401-0001-01</t>
  </si>
  <si>
    <t>2024-10-01</t>
  </si>
  <si>
    <t>2024-12-31</t>
  </si>
  <si>
    <t>2025-03-31</t>
  </si>
  <si>
    <t>2025-04-03</t>
  </si>
  <si>
    <t> 0734888746TC</t>
  </si>
  <si>
    <t>004401-0002-02</t>
  </si>
  <si>
    <t>2025-01-01</t>
  </si>
  <si>
    <t>2025-06-29</t>
  </si>
  <si>
    <t>2025-07-02</t>
  </si>
  <si>
    <t> 1630671225TC</t>
  </si>
  <si>
    <t>005966-0003-01</t>
  </si>
  <si>
    <t>2025-04-01</t>
  </si>
  <si>
    <t>2025-04-30</t>
  </si>
  <si>
    <t>2025-07-29</t>
  </si>
  <si>
    <t>2025-07-25</t>
  </si>
  <si>
    <t>1982303993TC</t>
  </si>
  <si>
    <t>006199-0002-01</t>
  </si>
  <si>
    <t>2025-05-01</t>
  </si>
  <si>
    <t>2025-07-31</t>
  </si>
  <si>
    <t>2025-10-29</t>
  </si>
  <si>
    <t>2025-10-16</t>
  </si>
  <si>
    <t>Two months at 17% and one month at 23%</t>
  </si>
  <si>
    <t> 2890775336TC</t>
  </si>
  <si>
    <t>Montefiore System</t>
  </si>
  <si>
    <t>Volume Rebate May - June 25</t>
  </si>
  <si>
    <t>Volume Rebate April 25</t>
  </si>
  <si>
    <t>Volume Rebate Jan- March 25</t>
  </si>
  <si>
    <t>Volume Rebate Oct - Dec 24</t>
  </si>
  <si>
    <t>Customer ID</t>
  </si>
  <si>
    <t>Customer Name</t>
  </si>
  <si>
    <t>Address</t>
  </si>
  <si>
    <t>City</t>
  </si>
  <si>
    <t>State</t>
  </si>
  <si>
    <t>Quantity</t>
  </si>
  <si>
    <t>UOM</t>
  </si>
  <si>
    <t>Total Payment</t>
  </si>
  <si>
    <t>Currency</t>
  </si>
  <si>
    <t>WHITE PLAINS HOSPITAL</t>
  </si>
  <si>
    <t>41 E POST RD</t>
  </si>
  <si>
    <t>WHITE PLAINS</t>
  </si>
  <si>
    <t>NY</t>
  </si>
  <si>
    <t>EA</t>
  </si>
  <si>
    <t>USD</t>
  </si>
  <si>
    <t>MONTEFIORE MED CTR NUCLEAR MED</t>
  </si>
  <si>
    <t>1695A ECHESTER RD</t>
  </si>
  <si>
    <t>THE BRONX</t>
  </si>
  <si>
    <t>MONTEFIOR ST LUKES CORNWALL</t>
  </si>
  <si>
    <t>19 LAUREL AVENUE</t>
  </si>
  <si>
    <t>CORNWALL</t>
  </si>
  <si>
    <t>MONTEFIORE NYACK HOSPITAL</t>
  </si>
  <si>
    <t>111 NORTH HIGHLAND AVE</t>
  </si>
  <si>
    <t>NYACK</t>
  </si>
  <si>
    <t>*Achieved Tier 3 Rebate. Percentage increased from 15% to 20% on 7/1/2025.</t>
  </si>
  <si>
    <t>41 E Post Rd</t>
  </si>
  <si>
    <t>White Plains</t>
  </si>
  <si>
    <t>1695A Echester Rd</t>
  </si>
  <si>
    <t>Volume Rebate Aug - Oct 25</t>
  </si>
  <si>
    <t>0220154967TC</t>
  </si>
  <si>
    <t>It looks like Montefiore Nyack was originally billed at the WAC price in July and paid rebates for these items (period of 5/1/2025 to 7/31/2025). However, during the following period (8/1/2025 to 10/31/2025) Montefiore was credited for all of these July items, and these were accounted for as a negative amount for the total rebate payment.</t>
  </si>
  <si>
    <t>I believe the reason for the credit amount was that Montefiore Nyack was supposed to receive 340B pricing in July not WAC. From our purchase data, Montefiore Nyack was subsequently billed at the 340B price for the July purchases and has been receiving 340B pricing from that point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</si>
</sst>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4" formatCode="&quot;$&quot;#,##0.00"/>
    <numFmt numFmtId="165" formatCode="0.0%"/>
    <numFmt numFmtId="166" formatCode="_(* #,##0_);_(* \(#,##0\);_(* &quot;-&quot;??_);_(@_)"/>
    <numFmt numFmtId="167" formatCode="yyyy\-mm\-dd;@"/>
  </numFmts>
  <fonts count="4" x14ac:knownFonts="1">
    <font>
      <sz val="11"/>
      <color theme="1"/>
      <name val="Aptos Narrow"/>
      <family val="2"/>
      <scheme val="minor"/>
    </font>
    <font>
      <sz val="11"/>
      <color theme="1"/>
      <name val="Aptos Narrow"/>
      <family val="2"/>
      <scheme val="minor"/>
    </font>
    <font>
      <sz val="11"/>
      <name val="Calibri"/>
      <family val="2"/>
    </font>
    <font>
      <sz val="11"/>
      <color theme="1"/>
      <name val="Aptos"/>
      <family val="2"/>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indexed="64"/>
      </top>
      <bottom style="double">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29">
    <xf numFmtId="0" fontId="0" fillId="0" borderId="0" xfId="0"/>
    <xf numFmtId="0" fontId="0" fillId="0" borderId="1" xfId="0" applyBorder="1" applyAlignment="1">
      <alignment horizontal="left" vertical="center"/>
    </xf>
    <xf numFmtId="0" fontId="2" fillId="0" borderId="1" xfId="0" applyFont="1" applyBorder="1" applyAlignment="1">
      <alignment horizontal="left" vertical="center"/>
    </xf>
    <xf numFmtId="0" fontId="0" fillId="0" borderId="0" xfId="0" applyAlignment="1">
      <alignment vertical="center"/>
    </xf>
    <xf numFmtId="0" fontId="2" fillId="0" borderId="0" xfId="0" applyFont="1" applyAlignment="1">
      <alignment horizontal="left" vertical="center"/>
    </xf>
    <xf numFmtId="164" fontId="0" fillId="0" borderId="0" xfId="1" applyNumberFormat="1" applyFont="1" applyAlignment="1">
      <alignment horizontal="right" vertical="center"/>
    </xf>
    <xf numFmtId="164" fontId="2" fillId="0" borderId="0" xfId="1" applyNumberFormat="1" applyFont="1" applyAlignment="1">
      <alignment horizontal="right" vertical="center"/>
    </xf>
    <xf numFmtId="0" fontId="2" fillId="0" borderId="0" xfId="0" applyFont="1" applyAlignment="1">
      <alignment vertical="center"/>
    </xf>
    <xf numFmtId="164" fontId="0" fillId="0" borderId="0" xfId="1" applyNumberFormat="1" applyFont="1" applyFill="1" applyAlignment="1">
      <alignment horizontal="right" vertical="center"/>
    </xf>
    <xf numFmtId="164" fontId="2" fillId="0" borderId="0" xfId="1" applyNumberFormat="1" applyFont="1" applyFill="1" applyAlignment="1">
      <alignment horizontal="right" vertical="center"/>
    </xf>
    <xf numFmtId="0" fontId="0" fillId="0" borderId="0" xfId="0" applyAlignment="1">
      <alignment horizontal="right" vertical="center"/>
    </xf>
    <xf numFmtId="165" fontId="0" fillId="0" borderId="0" xfId="2" applyNumberFormat="1" applyFont="1" applyAlignment="1">
      <alignment horizontal="right" vertical="center"/>
    </xf>
    <xf numFmtId="9" fontId="0" fillId="0" borderId="0" xfId="2" applyFont="1" applyAlignment="1">
      <alignment horizontal="right" vertical="center"/>
    </xf>
    <xf numFmtId="0" fontId="2" fillId="0" borderId="1" xfId="0" applyFont="1" applyBorder="1" applyAlignment="1">
      <alignment horizontal="right" vertical="center"/>
    </xf>
    <xf numFmtId="0" fontId="0" fillId="0" borderId="1" xfId="0" applyBorder="1" applyAlignment="1">
      <alignment horizontal="right" vertical="center"/>
    </xf>
    <xf numFmtId="0" fontId="2" fillId="0" borderId="0" xfId="0" applyFont="1" applyAlignment="1">
      <alignment horizontal="right" vertical="center"/>
    </xf>
    <xf numFmtId="9" fontId="0" fillId="0" borderId="0" xfId="2" applyFont="1" applyAlignment="1">
      <alignment horizontal="right" vertical="center" wrapText="1"/>
    </xf>
    <xf numFmtId="166" fontId="0" fillId="0" borderId="0" xfId="3" applyNumberFormat="1" applyFont="1"/>
    <xf numFmtId="43" fontId="0" fillId="0" borderId="0" xfId="3" applyFont="1"/>
    <xf numFmtId="166" fontId="0" fillId="0" borderId="2" xfId="3" applyNumberFormat="1" applyFont="1" applyBorder="1"/>
    <xf numFmtId="43" fontId="0" fillId="0" borderId="2" xfId="3" applyFont="1" applyBorder="1"/>
    <xf numFmtId="4" fontId="0" fillId="0" borderId="0" xfId="0" applyNumberFormat="1"/>
    <xf numFmtId="0" fontId="0" fillId="0" borderId="2" xfId="0" applyBorder="1"/>
    <xf numFmtId="4" fontId="0" fillId="0" borderId="2" xfId="0" applyNumberFormat="1" applyBorder="1"/>
    <xf numFmtId="8" fontId="0" fillId="0" borderId="0" xfId="0" applyNumberFormat="1"/>
    <xf numFmtId="0" fontId="0" fillId="0" borderId="0" xfId="0" applyAlignment="1">
      <alignment horizontal="right"/>
    </xf>
    <xf numFmtId="167" fontId="0" fillId="0" borderId="0" xfId="0" applyNumberFormat="1" applyAlignment="1">
      <alignment horizontal="right" vertical="center"/>
    </xf>
    <xf numFmtId="0" fontId="3" fillId="0" borderId="0" xfId="0" applyFont="1" applyAlignment="1">
      <alignment vertical="center"/>
    </xf>
    <xf numFmtId="44" fontId="0" fillId="0" borderId="0" xfId="1" applyFont="1"/>
  </cellXfs>
  <cellStyles count="4">
    <cellStyle name="Comma" xfId="3" builtinId="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C6355-8C17-402E-B4D4-9BC4488CD142}">
  <dimension ref="A3:N12"/>
  <sheetViews>
    <sheetView workbookViewId="0">
      <selection activeCell="J8" sqref="J8"/>
    </sheetView>
  </sheetViews>
  <sheetFormatPr defaultRowHeight="15" x14ac:dyDescent="0.25"/>
  <cols>
    <col min="1" max="1" width="18.5703125" customWidth="1"/>
    <col min="2" max="2" width="27.140625" customWidth="1"/>
    <col min="4" max="4" width="17.28515625" customWidth="1"/>
    <col min="5" max="5" width="15.85546875" customWidth="1"/>
    <col min="6" max="6" width="0" hidden="1" customWidth="1"/>
    <col min="7" max="7" width="14.85546875" hidden="1" customWidth="1"/>
    <col min="8" max="8" width="0" hidden="1" customWidth="1"/>
    <col min="9" max="9" width="0.7109375" hidden="1" customWidth="1"/>
    <col min="10" max="10" width="11.140625" customWidth="1"/>
    <col min="11" max="11" width="0" hidden="1" customWidth="1"/>
    <col min="12" max="12" width="19.85546875" hidden="1" customWidth="1"/>
    <col min="13" max="13" width="0" hidden="1" customWidth="1"/>
    <col min="14" max="14" width="16.140625" customWidth="1"/>
  </cols>
  <sheetData>
    <row r="3" spans="1:14" s="3" customFormat="1" x14ac:dyDescent="0.25">
      <c r="A3" s="1" t="s">
        <v>0</v>
      </c>
      <c r="B3" s="2" t="s">
        <v>1</v>
      </c>
      <c r="C3" s="13" t="s">
        <v>2</v>
      </c>
      <c r="D3" s="14" t="s">
        <v>3</v>
      </c>
      <c r="E3" s="13" t="s">
        <v>4</v>
      </c>
      <c r="F3" s="10"/>
      <c r="G3" s="15" t="s">
        <v>5</v>
      </c>
      <c r="H3" s="13" t="s">
        <v>6</v>
      </c>
      <c r="I3" s="13" t="s">
        <v>7</v>
      </c>
      <c r="J3" s="13" t="s">
        <v>8</v>
      </c>
      <c r="K3" s="13" t="s">
        <v>9</v>
      </c>
      <c r="L3" s="13" t="s">
        <v>10</v>
      </c>
      <c r="M3" s="13" t="s">
        <v>11</v>
      </c>
      <c r="N3" s="13" t="s">
        <v>12</v>
      </c>
    </row>
    <row r="4" spans="1:14" s="3" customFormat="1" x14ac:dyDescent="0.25">
      <c r="A4" s="3" t="s">
        <v>37</v>
      </c>
      <c r="B4" s="4" t="s">
        <v>41</v>
      </c>
      <c r="C4" s="10">
        <v>213</v>
      </c>
      <c r="D4" s="5">
        <v>1112430.8400000001</v>
      </c>
      <c r="E4" s="6">
        <v>111243.08</v>
      </c>
      <c r="F4" s="11">
        <f>E4/D4</f>
        <v>9.9999996404270847E-2</v>
      </c>
      <c r="G4" s="10" t="s">
        <v>13</v>
      </c>
      <c r="H4" s="10" t="s">
        <v>14</v>
      </c>
      <c r="I4" s="10" t="s">
        <v>15</v>
      </c>
      <c r="J4" s="10" t="s">
        <v>16</v>
      </c>
      <c r="K4" s="10" t="s">
        <v>17</v>
      </c>
      <c r="L4" s="12">
        <v>0.09</v>
      </c>
      <c r="M4" s="12">
        <f>E4/D4</f>
        <v>9.9999996404270847E-2</v>
      </c>
      <c r="N4" s="6" t="s">
        <v>18</v>
      </c>
    </row>
    <row r="5" spans="1:14" s="3" customFormat="1" x14ac:dyDescent="0.25">
      <c r="A5" s="3" t="s">
        <v>37</v>
      </c>
      <c r="B5" s="4" t="s">
        <v>40</v>
      </c>
      <c r="C5" s="10">
        <v>239</v>
      </c>
      <c r="D5" s="5">
        <v>1301403.32</v>
      </c>
      <c r="E5" s="5">
        <v>117126.3</v>
      </c>
      <c r="F5" s="11">
        <f t="shared" ref="F5:F7" si="0">E5/D5</f>
        <v>9.0000000922081561E-2</v>
      </c>
      <c r="G5" s="10" t="s">
        <v>19</v>
      </c>
      <c r="H5" s="10" t="s">
        <v>20</v>
      </c>
      <c r="I5" s="10" t="s">
        <v>16</v>
      </c>
      <c r="J5" s="10" t="s">
        <v>21</v>
      </c>
      <c r="K5" s="10" t="s">
        <v>22</v>
      </c>
      <c r="L5" s="12">
        <v>0.09</v>
      </c>
      <c r="M5" s="12">
        <f t="shared" ref="M5:M7" si="1">E5/D5</f>
        <v>9.0000000922081561E-2</v>
      </c>
      <c r="N5" s="5" t="s">
        <v>23</v>
      </c>
    </row>
    <row r="6" spans="1:14" s="3" customFormat="1" x14ac:dyDescent="0.25">
      <c r="A6" s="3" t="s">
        <v>37</v>
      </c>
      <c r="B6" s="7" t="s">
        <v>39</v>
      </c>
      <c r="C6" s="10">
        <v>90</v>
      </c>
      <c r="D6" s="5">
        <v>498196.8</v>
      </c>
      <c r="E6" s="5">
        <v>59783.62</v>
      </c>
      <c r="F6" s="11">
        <f t="shared" si="0"/>
        <v>0.12000000802895563</v>
      </c>
      <c r="G6" s="10" t="s">
        <v>24</v>
      </c>
      <c r="H6" s="10" t="s">
        <v>25</v>
      </c>
      <c r="I6" s="10" t="s">
        <v>26</v>
      </c>
      <c r="J6" s="10" t="s">
        <v>27</v>
      </c>
      <c r="K6" s="10" t="s">
        <v>28</v>
      </c>
      <c r="L6" s="12">
        <v>0.12</v>
      </c>
      <c r="M6" s="12">
        <f t="shared" si="1"/>
        <v>0.12000000802895563</v>
      </c>
      <c r="N6" s="5" t="s">
        <v>29</v>
      </c>
    </row>
    <row r="7" spans="1:14" s="3" customFormat="1" ht="20.100000000000001" customHeight="1" x14ac:dyDescent="0.25">
      <c r="A7" s="3" t="s">
        <v>37</v>
      </c>
      <c r="B7" s="7" t="s">
        <v>38</v>
      </c>
      <c r="C7" s="10">
        <v>263</v>
      </c>
      <c r="D7" s="8">
        <v>1455841.76</v>
      </c>
      <c r="E7" s="9">
        <v>276056.38</v>
      </c>
      <c r="F7" s="11">
        <f t="shared" si="0"/>
        <v>0.18961977021458706</v>
      </c>
      <c r="G7" s="10" t="s">
        <v>30</v>
      </c>
      <c r="H7" s="10" t="s">
        <v>31</v>
      </c>
      <c r="I7" s="10" t="s">
        <v>32</v>
      </c>
      <c r="J7" s="10" t="s">
        <v>33</v>
      </c>
      <c r="K7" s="10" t="s">
        <v>34</v>
      </c>
      <c r="L7" s="16" t="s">
        <v>35</v>
      </c>
      <c r="M7" s="12">
        <f t="shared" si="1"/>
        <v>0.18961977021458706</v>
      </c>
      <c r="N7" s="9" t="s">
        <v>36</v>
      </c>
    </row>
    <row r="8" spans="1:14" x14ac:dyDescent="0.25">
      <c r="A8" s="3" t="s">
        <v>37</v>
      </c>
      <c r="B8" s="7" t="s">
        <v>70</v>
      </c>
      <c r="C8" s="10">
        <v>328</v>
      </c>
      <c r="D8" s="24">
        <v>1815650.56</v>
      </c>
      <c r="E8" s="24">
        <v>420145.97</v>
      </c>
      <c r="J8" s="26">
        <v>46044</v>
      </c>
      <c r="K8" s="25"/>
      <c r="L8" s="25"/>
      <c r="M8" s="25"/>
      <c r="N8" s="25" t="s">
        <v>71</v>
      </c>
    </row>
    <row r="10" spans="1:14" x14ac:dyDescent="0.25">
      <c r="A10" s="3"/>
      <c r="B10" s="4"/>
      <c r="C10" s="10"/>
      <c r="D10" s="5"/>
      <c r="E10" s="5"/>
      <c r="F10" s="11"/>
      <c r="G10" s="10"/>
      <c r="H10" s="10"/>
      <c r="I10" s="10"/>
      <c r="J10" s="10"/>
      <c r="K10" s="10"/>
      <c r="L10" s="12"/>
      <c r="M10" s="12"/>
      <c r="N10" s="5"/>
    </row>
    <row r="11" spans="1:14" x14ac:dyDescent="0.25">
      <c r="A11" s="3"/>
      <c r="B11" s="7"/>
      <c r="C11" s="10"/>
      <c r="D11" s="5"/>
      <c r="E11" s="5"/>
      <c r="F11" s="11"/>
      <c r="G11" s="10"/>
      <c r="H11" s="10"/>
      <c r="I11" s="10"/>
      <c r="J11" s="10"/>
      <c r="K11" s="10"/>
      <c r="L11" s="12"/>
      <c r="M11" s="12"/>
      <c r="N11" s="5"/>
    </row>
    <row r="12" spans="1:14" x14ac:dyDescent="0.25">
      <c r="A12" s="3"/>
      <c r="B12" s="7"/>
      <c r="C12" s="10"/>
      <c r="D12" s="8"/>
      <c r="E12" s="9"/>
      <c r="F12" s="11"/>
      <c r="G12" s="10"/>
      <c r="H12" s="10"/>
      <c r="I12" s="10"/>
      <c r="J12" s="10"/>
      <c r="K12" s="10"/>
      <c r="L12" s="16"/>
      <c r="M12" s="12"/>
      <c r="N12"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3FAC9-91D2-4136-BF6F-45A1E18EB7FC}">
  <dimension ref="A3:J8"/>
  <sheetViews>
    <sheetView workbookViewId="0">
      <selection activeCell="B17" sqref="B17"/>
    </sheetView>
  </sheetViews>
  <sheetFormatPr defaultRowHeight="15" x14ac:dyDescent="0.25"/>
  <cols>
    <col min="1" max="1" width="14.5703125" customWidth="1"/>
    <col min="2" max="2" width="26.140625" customWidth="1"/>
    <col min="3" max="3" width="14.42578125" customWidth="1"/>
    <col min="4" max="4" width="13.140625" customWidth="1"/>
    <col min="8" max="8" width="17" customWidth="1"/>
    <col min="9" max="9" width="20.5703125" customWidth="1"/>
  </cols>
  <sheetData>
    <row r="3" spans="1:10" x14ac:dyDescent="0.25">
      <c r="A3" t="s">
        <v>42</v>
      </c>
      <c r="B3" t="s">
        <v>43</v>
      </c>
      <c r="C3" t="s">
        <v>44</v>
      </c>
      <c r="D3" t="s">
        <v>45</v>
      </c>
      <c r="E3" t="s">
        <v>46</v>
      </c>
      <c r="F3" t="s">
        <v>47</v>
      </c>
      <c r="G3" t="s">
        <v>48</v>
      </c>
      <c r="H3" t="s">
        <v>3</v>
      </c>
      <c r="I3" t="s">
        <v>49</v>
      </c>
      <c r="J3" t="s">
        <v>50</v>
      </c>
    </row>
    <row r="4" spans="1:10" x14ac:dyDescent="0.25">
      <c r="A4">
        <v>20000532</v>
      </c>
      <c r="B4" t="s">
        <v>51</v>
      </c>
      <c r="C4" t="s">
        <v>67</v>
      </c>
      <c r="D4" t="s">
        <v>68</v>
      </c>
      <c r="E4" t="s">
        <v>54</v>
      </c>
      <c r="F4">
        <v>93</v>
      </c>
      <c r="G4" t="s">
        <v>55</v>
      </c>
      <c r="H4" s="21">
        <v>485709.24</v>
      </c>
      <c r="I4" s="21">
        <v>48570.923999999999</v>
      </c>
      <c r="J4" t="s">
        <v>56</v>
      </c>
    </row>
    <row r="5" spans="1:10" x14ac:dyDescent="0.25">
      <c r="A5">
        <v>20000544</v>
      </c>
      <c r="B5" t="s">
        <v>57</v>
      </c>
      <c r="C5" t="s">
        <v>69</v>
      </c>
      <c r="D5" t="s">
        <v>59</v>
      </c>
      <c r="E5" t="s">
        <v>54</v>
      </c>
      <c r="F5">
        <v>110</v>
      </c>
      <c r="G5" t="s">
        <v>55</v>
      </c>
      <c r="H5" s="21">
        <v>574494.80000000005</v>
      </c>
      <c r="I5" s="21">
        <v>57449.48</v>
      </c>
      <c r="J5" t="s">
        <v>56</v>
      </c>
    </row>
    <row r="6" spans="1:10" x14ac:dyDescent="0.25">
      <c r="A6">
        <v>20010670</v>
      </c>
      <c r="B6" t="s">
        <v>60</v>
      </c>
      <c r="C6" t="s">
        <v>61</v>
      </c>
      <c r="D6" t="s">
        <v>62</v>
      </c>
      <c r="E6" t="s">
        <v>54</v>
      </c>
      <c r="F6">
        <v>10</v>
      </c>
      <c r="G6" t="s">
        <v>55</v>
      </c>
      <c r="H6" s="21">
        <v>52226.8</v>
      </c>
      <c r="I6" s="21">
        <v>5222.68</v>
      </c>
      <c r="J6" t="s">
        <v>56</v>
      </c>
    </row>
    <row r="7" spans="1:10" ht="15.75" thickBot="1" x14ac:dyDescent="0.3">
      <c r="F7" s="22">
        <f>SUM(F4:F6)</f>
        <v>213</v>
      </c>
      <c r="H7" s="23">
        <f>SUM(H4:H6)</f>
        <v>1112430.8400000001</v>
      </c>
      <c r="I7" s="23">
        <f>SUM(I4:I6)</f>
        <v>111243.084</v>
      </c>
    </row>
    <row r="8" spans="1:10" ht="15.75" thickTop="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9567-DC6B-4F73-BE14-9F68A2B599B2}">
  <dimension ref="A3:J8"/>
  <sheetViews>
    <sheetView workbookViewId="0">
      <selection activeCell="B12" sqref="B12"/>
    </sheetView>
  </sheetViews>
  <sheetFormatPr defaultRowHeight="15" x14ac:dyDescent="0.25"/>
  <cols>
    <col min="1" max="1" width="12.140625" customWidth="1"/>
    <col min="2" max="2" width="31.85546875" customWidth="1"/>
    <col min="3" max="3" width="13.5703125" customWidth="1"/>
    <col min="4" max="4" width="14.85546875" customWidth="1"/>
    <col min="7" max="7" width="6.140625" customWidth="1"/>
    <col min="8" max="8" width="18.85546875" customWidth="1"/>
    <col min="9" max="9" width="15.140625" customWidth="1"/>
  </cols>
  <sheetData>
    <row r="3" spans="1:10" x14ac:dyDescent="0.25">
      <c r="A3" t="s">
        <v>42</v>
      </c>
      <c r="B3" t="s">
        <v>43</v>
      </c>
      <c r="C3" t="s">
        <v>44</v>
      </c>
      <c r="D3" t="s">
        <v>45</v>
      </c>
      <c r="E3" t="s">
        <v>46</v>
      </c>
      <c r="F3" t="s">
        <v>47</v>
      </c>
      <c r="G3" t="s">
        <v>48</v>
      </c>
      <c r="H3" t="s">
        <v>3</v>
      </c>
      <c r="I3" t="s">
        <v>49</v>
      </c>
      <c r="J3" t="s">
        <v>50</v>
      </c>
    </row>
    <row r="4" spans="1:10" x14ac:dyDescent="0.25">
      <c r="A4">
        <v>20000532</v>
      </c>
      <c r="B4" t="s">
        <v>51</v>
      </c>
      <c r="C4" t="s">
        <v>67</v>
      </c>
      <c r="D4" t="s">
        <v>68</v>
      </c>
      <c r="E4" t="s">
        <v>54</v>
      </c>
      <c r="F4">
        <v>86</v>
      </c>
      <c r="G4" t="s">
        <v>55</v>
      </c>
      <c r="H4" s="21">
        <v>469172.24</v>
      </c>
      <c r="I4" s="21">
        <v>42225.501600000003</v>
      </c>
      <c r="J4" t="s">
        <v>56</v>
      </c>
    </row>
    <row r="5" spans="1:10" x14ac:dyDescent="0.25">
      <c r="A5">
        <v>20000544</v>
      </c>
      <c r="B5" t="s">
        <v>57</v>
      </c>
      <c r="C5" t="s">
        <v>69</v>
      </c>
      <c r="D5" t="s">
        <v>59</v>
      </c>
      <c r="E5" t="s">
        <v>54</v>
      </c>
      <c r="F5">
        <v>126</v>
      </c>
      <c r="G5" t="s">
        <v>55</v>
      </c>
      <c r="H5" s="21">
        <v>686526.12</v>
      </c>
      <c r="I5" s="21">
        <v>61787.3508</v>
      </c>
      <c r="J5" t="s">
        <v>56</v>
      </c>
    </row>
    <row r="6" spans="1:10" x14ac:dyDescent="0.25">
      <c r="A6">
        <v>20010670</v>
      </c>
      <c r="B6" t="s">
        <v>60</v>
      </c>
      <c r="C6" t="s">
        <v>61</v>
      </c>
      <c r="D6" t="s">
        <v>62</v>
      </c>
      <c r="E6" t="s">
        <v>54</v>
      </c>
      <c r="F6">
        <v>27</v>
      </c>
      <c r="G6" t="s">
        <v>55</v>
      </c>
      <c r="H6" s="21">
        <v>145704.95999999999</v>
      </c>
      <c r="I6" s="21">
        <v>13113.446400000001</v>
      </c>
      <c r="J6" t="s">
        <v>56</v>
      </c>
    </row>
    <row r="7" spans="1:10" ht="15.75" thickBot="1" x14ac:dyDescent="0.3">
      <c r="F7" s="22">
        <f>SUM(F4:F6)</f>
        <v>239</v>
      </c>
      <c r="H7" s="20">
        <f t="shared" ref="H7:I7" si="0">SUM(H4:H6)</f>
        <v>1301403.3199999998</v>
      </c>
      <c r="I7" s="20">
        <f t="shared" si="0"/>
        <v>117126.2988</v>
      </c>
    </row>
    <row r="8" spans="1:10" ht="15.75" thickTop="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3D8ED-5C0D-451F-8E36-FE893A3A1E1D}">
  <dimension ref="A3:J9"/>
  <sheetViews>
    <sheetView workbookViewId="0">
      <selection activeCell="G16" sqref="G16"/>
    </sheetView>
  </sheetViews>
  <sheetFormatPr defaultRowHeight="15" x14ac:dyDescent="0.25"/>
  <cols>
    <col min="1" max="1" width="12.140625" customWidth="1"/>
    <col min="2" max="2" width="31.5703125" customWidth="1"/>
    <col min="3" max="3" width="19.140625" customWidth="1"/>
    <col min="4" max="4" width="15.42578125" customWidth="1"/>
    <col min="8" max="8" width="12.85546875" customWidth="1"/>
    <col min="9" max="9" width="15.5703125" customWidth="1"/>
  </cols>
  <sheetData>
    <row r="3" spans="1:10" x14ac:dyDescent="0.25">
      <c r="A3" t="s">
        <v>42</v>
      </c>
      <c r="B3" t="s">
        <v>43</v>
      </c>
      <c r="C3" t="s">
        <v>44</v>
      </c>
      <c r="D3" t="s">
        <v>45</v>
      </c>
      <c r="E3" t="s">
        <v>46</v>
      </c>
      <c r="F3" t="s">
        <v>47</v>
      </c>
      <c r="G3" t="s">
        <v>48</v>
      </c>
      <c r="H3" t="s">
        <v>3</v>
      </c>
      <c r="I3" t="s">
        <v>49</v>
      </c>
      <c r="J3" t="s">
        <v>50</v>
      </c>
    </row>
    <row r="4" spans="1:10" x14ac:dyDescent="0.25">
      <c r="A4">
        <v>20000532</v>
      </c>
      <c r="B4" t="s">
        <v>51</v>
      </c>
      <c r="C4" t="s">
        <v>67</v>
      </c>
      <c r="D4" t="s">
        <v>68</v>
      </c>
      <c r="E4" t="s">
        <v>54</v>
      </c>
      <c r="F4">
        <v>30</v>
      </c>
      <c r="G4" t="s">
        <v>55</v>
      </c>
      <c r="H4" s="18">
        <v>166065.60000000001</v>
      </c>
      <c r="I4" s="18">
        <v>19927.871999999999</v>
      </c>
      <c r="J4" t="s">
        <v>56</v>
      </c>
    </row>
    <row r="5" spans="1:10" x14ac:dyDescent="0.25">
      <c r="A5">
        <v>20000544</v>
      </c>
      <c r="B5" t="s">
        <v>57</v>
      </c>
      <c r="C5" t="s">
        <v>69</v>
      </c>
      <c r="D5" t="s">
        <v>59</v>
      </c>
      <c r="E5" t="s">
        <v>54</v>
      </c>
      <c r="F5">
        <v>52</v>
      </c>
      <c r="G5" t="s">
        <v>55</v>
      </c>
      <c r="H5" s="18">
        <v>287847.03999999998</v>
      </c>
      <c r="I5" s="18">
        <v>34541.644800000002</v>
      </c>
      <c r="J5" t="s">
        <v>56</v>
      </c>
    </row>
    <row r="6" spans="1:10" x14ac:dyDescent="0.25">
      <c r="A6">
        <v>20010670</v>
      </c>
      <c r="B6" t="s">
        <v>60</v>
      </c>
      <c r="C6" t="s">
        <v>61</v>
      </c>
      <c r="D6" t="s">
        <v>62</v>
      </c>
      <c r="E6" t="s">
        <v>54</v>
      </c>
      <c r="F6">
        <v>6</v>
      </c>
      <c r="G6" t="s">
        <v>55</v>
      </c>
      <c r="H6" s="18">
        <v>33213.120000000003</v>
      </c>
      <c r="I6" s="18">
        <v>3985.5744</v>
      </c>
      <c r="J6" t="s">
        <v>56</v>
      </c>
    </row>
    <row r="7" spans="1:10" x14ac:dyDescent="0.25">
      <c r="A7">
        <v>20011282</v>
      </c>
      <c r="B7" t="s">
        <v>63</v>
      </c>
      <c r="C7" t="s">
        <v>64</v>
      </c>
      <c r="D7" t="s">
        <v>65</v>
      </c>
      <c r="E7" t="s">
        <v>54</v>
      </c>
      <c r="F7">
        <v>2</v>
      </c>
      <c r="G7" t="s">
        <v>55</v>
      </c>
      <c r="H7" s="18">
        <v>11071.04</v>
      </c>
      <c r="I7" s="18">
        <v>1328.5247999999999</v>
      </c>
      <c r="J7" t="s">
        <v>56</v>
      </c>
    </row>
    <row r="8" spans="1:10" ht="15.75" thickBot="1" x14ac:dyDescent="0.3">
      <c r="F8" s="22">
        <f>SUM(F4:F7)</f>
        <v>90</v>
      </c>
      <c r="H8" s="20">
        <f t="shared" ref="H8:I8" si="0">SUM(H4:H7)</f>
        <v>498196.8</v>
      </c>
      <c r="I8" s="20">
        <f t="shared" si="0"/>
        <v>59783.615999999995</v>
      </c>
    </row>
    <row r="9" spans="1:10" ht="15.75" thickTop="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1DE02-2894-4432-BBBD-2D99E9F76FE0}">
  <dimension ref="A3:J12"/>
  <sheetViews>
    <sheetView workbookViewId="0">
      <selection activeCell="D15" sqref="D15"/>
    </sheetView>
  </sheetViews>
  <sheetFormatPr defaultRowHeight="15" x14ac:dyDescent="0.25"/>
  <cols>
    <col min="1" max="1" width="13.140625" customWidth="1"/>
    <col min="2" max="2" width="31.85546875" customWidth="1"/>
    <col min="3" max="3" width="15.42578125" customWidth="1"/>
    <col min="4" max="4" width="15.140625" customWidth="1"/>
    <col min="8" max="8" width="13.5703125" customWidth="1"/>
    <col min="9" max="9" width="15.85546875" customWidth="1"/>
  </cols>
  <sheetData>
    <row r="3" spans="1:10" x14ac:dyDescent="0.25">
      <c r="A3" t="s">
        <v>42</v>
      </c>
      <c r="B3" t="s">
        <v>43</v>
      </c>
      <c r="C3" t="s">
        <v>44</v>
      </c>
      <c r="D3" t="s">
        <v>45</v>
      </c>
      <c r="E3" t="s">
        <v>46</v>
      </c>
      <c r="F3" t="s">
        <v>47</v>
      </c>
      <c r="G3" t="s">
        <v>48</v>
      </c>
      <c r="H3" t="s">
        <v>3</v>
      </c>
      <c r="I3" t="s">
        <v>49</v>
      </c>
      <c r="J3" t="s">
        <v>50</v>
      </c>
    </row>
    <row r="4" spans="1:10" x14ac:dyDescent="0.25">
      <c r="A4">
        <v>20000532</v>
      </c>
      <c r="B4" t="s">
        <v>51</v>
      </c>
      <c r="C4" t="s">
        <v>52</v>
      </c>
      <c r="D4" t="s">
        <v>53</v>
      </c>
      <c r="E4" t="s">
        <v>54</v>
      </c>
      <c r="F4" s="17">
        <v>134</v>
      </c>
      <c r="G4" s="18" t="s">
        <v>55</v>
      </c>
      <c r="H4" s="18">
        <v>741759.68</v>
      </c>
      <c r="I4" s="18">
        <v>139716.5247999999</v>
      </c>
      <c r="J4" t="s">
        <v>56</v>
      </c>
    </row>
    <row r="5" spans="1:10" x14ac:dyDescent="0.25">
      <c r="A5">
        <v>20000544</v>
      </c>
      <c r="B5" t="s">
        <v>57</v>
      </c>
      <c r="C5" t="s">
        <v>58</v>
      </c>
      <c r="D5" t="s">
        <v>59</v>
      </c>
      <c r="E5" t="s">
        <v>54</v>
      </c>
      <c r="F5" s="17">
        <v>104</v>
      </c>
      <c r="G5" s="18" t="s">
        <v>55</v>
      </c>
      <c r="H5" s="18">
        <v>575694.07999999996</v>
      </c>
      <c r="I5" s="18">
        <v>110488.97919999973</v>
      </c>
      <c r="J5" t="s">
        <v>56</v>
      </c>
    </row>
    <row r="6" spans="1:10" x14ac:dyDescent="0.25">
      <c r="A6">
        <v>20010670</v>
      </c>
      <c r="B6" t="s">
        <v>60</v>
      </c>
      <c r="C6" t="s">
        <v>61</v>
      </c>
      <c r="D6" t="s">
        <v>62</v>
      </c>
      <c r="E6" t="s">
        <v>54</v>
      </c>
      <c r="F6" s="17">
        <v>16</v>
      </c>
      <c r="G6" s="18" t="s">
        <v>55</v>
      </c>
      <c r="H6" s="18">
        <v>88568.320000000007</v>
      </c>
      <c r="I6" s="18">
        <v>15720.876799999996</v>
      </c>
      <c r="J6" t="s">
        <v>56</v>
      </c>
    </row>
    <row r="7" spans="1:10" x14ac:dyDescent="0.25">
      <c r="A7">
        <v>20011282</v>
      </c>
      <c r="B7" t="s">
        <v>63</v>
      </c>
      <c r="C7" t="s">
        <v>64</v>
      </c>
      <c r="D7" t="s">
        <v>65</v>
      </c>
      <c r="E7" t="s">
        <v>54</v>
      </c>
      <c r="F7" s="17">
        <v>9</v>
      </c>
      <c r="G7" s="18" t="s">
        <v>55</v>
      </c>
      <c r="H7" s="18">
        <v>49819.68</v>
      </c>
      <c r="I7" s="18">
        <v>10130.0016</v>
      </c>
      <c r="J7" t="s">
        <v>56</v>
      </c>
    </row>
    <row r="8" spans="1:10" ht="15.75" thickBot="1" x14ac:dyDescent="0.3">
      <c r="F8" s="19">
        <f>SUM(F4:F7)</f>
        <v>263</v>
      </c>
      <c r="G8" s="18"/>
      <c r="H8" s="20">
        <f>SUM(H4:H7)</f>
        <v>1455841.76</v>
      </c>
      <c r="I8" s="20">
        <f>SUM(I4:I7)</f>
        <v>276056.38239999959</v>
      </c>
    </row>
    <row r="9" spans="1:10" ht="15.75" thickTop="1" x14ac:dyDescent="0.25"/>
    <row r="12" spans="1:10" x14ac:dyDescent="0.25">
      <c r="A12" t="s">
        <v>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F2E68-7F1D-4795-A646-CA6A6E6CBE38}">
  <dimension ref="A3:M15"/>
  <sheetViews>
    <sheetView tabSelected="1" workbookViewId="0">
      <selection activeCell="D26" sqref="D26"/>
    </sheetView>
  </sheetViews>
  <sheetFormatPr defaultRowHeight="15" x14ac:dyDescent="0.25"/>
  <cols>
    <col min="1" max="1" width="14.42578125" customWidth="1"/>
    <col min="2" max="2" width="31.28515625" customWidth="1"/>
    <col min="3" max="3" width="17.85546875" customWidth="1"/>
    <col min="4" max="4" width="18.42578125" customWidth="1"/>
    <col min="8" max="8" width="15.5703125" customWidth="1"/>
    <col min="9" max="9" width="14.140625" customWidth="1"/>
    <col min="11" max="11" width="12.5703125" bestFit="1" customWidth="1"/>
  </cols>
  <sheetData>
    <row r="3" spans="1:13" x14ac:dyDescent="0.25">
      <c r="A3" t="s">
        <v>42</v>
      </c>
      <c r="B3" t="s">
        <v>43</v>
      </c>
      <c r="C3" t="s">
        <v>44</v>
      </c>
      <c r="D3" t="s">
        <v>45</v>
      </c>
      <c r="E3" t="s">
        <v>46</v>
      </c>
      <c r="F3" t="s">
        <v>47</v>
      </c>
      <c r="G3" t="s">
        <v>48</v>
      </c>
      <c r="H3" t="s">
        <v>3</v>
      </c>
      <c r="I3" t="s">
        <v>49</v>
      </c>
      <c r="J3" t="s">
        <v>50</v>
      </c>
    </row>
    <row r="4" spans="1:13" x14ac:dyDescent="0.25">
      <c r="A4">
        <v>20000532</v>
      </c>
      <c r="B4" t="s">
        <v>51</v>
      </c>
      <c r="C4" t="s">
        <v>52</v>
      </c>
      <c r="D4" t="s">
        <v>53</v>
      </c>
      <c r="E4" t="s">
        <v>54</v>
      </c>
      <c r="F4">
        <v>142</v>
      </c>
      <c r="G4" t="s">
        <v>55</v>
      </c>
      <c r="H4" s="21">
        <v>786043.84</v>
      </c>
      <c r="I4" s="21">
        <v>183336.42240000001</v>
      </c>
      <c r="J4" t="s">
        <v>56</v>
      </c>
      <c r="M4" s="21"/>
    </row>
    <row r="5" spans="1:13" x14ac:dyDescent="0.25">
      <c r="A5">
        <v>20000544</v>
      </c>
      <c r="B5" t="s">
        <v>57</v>
      </c>
      <c r="C5" t="s">
        <v>58</v>
      </c>
      <c r="D5" t="s">
        <v>59</v>
      </c>
      <c r="E5" t="s">
        <v>54</v>
      </c>
      <c r="F5">
        <v>165</v>
      </c>
      <c r="G5" t="s">
        <v>55</v>
      </c>
      <c r="H5" s="21">
        <v>913360.8</v>
      </c>
      <c r="I5" s="21">
        <v>210072.984</v>
      </c>
      <c r="J5" t="s">
        <v>56</v>
      </c>
      <c r="K5" s="28">
        <f>+I5+I7</f>
        <v>203707.136</v>
      </c>
    </row>
    <row r="6" spans="1:13" x14ac:dyDescent="0.25">
      <c r="A6">
        <v>20010670</v>
      </c>
      <c r="B6" t="s">
        <v>60</v>
      </c>
      <c r="C6" t="s">
        <v>61</v>
      </c>
      <c r="D6" t="s">
        <v>62</v>
      </c>
      <c r="E6" t="s">
        <v>54</v>
      </c>
      <c r="F6">
        <v>26</v>
      </c>
      <c r="G6" t="s">
        <v>55</v>
      </c>
      <c r="H6" s="21">
        <v>143923.51999999999</v>
      </c>
      <c r="I6" s="21">
        <v>33102.409599999999</v>
      </c>
      <c r="J6" t="s">
        <v>56</v>
      </c>
    </row>
    <row r="7" spans="1:13" x14ac:dyDescent="0.25">
      <c r="A7">
        <v>20011282</v>
      </c>
      <c r="B7" t="s">
        <v>63</v>
      </c>
      <c r="C7" t="s">
        <v>64</v>
      </c>
      <c r="D7" t="s">
        <v>65</v>
      </c>
      <c r="E7" t="s">
        <v>54</v>
      </c>
      <c r="F7">
        <v>-5</v>
      </c>
      <c r="G7" t="s">
        <v>55</v>
      </c>
      <c r="H7" s="21">
        <v>-27677.599999999999</v>
      </c>
      <c r="I7" s="21">
        <v>-6365.848</v>
      </c>
      <c r="J7" t="s">
        <v>56</v>
      </c>
    </row>
    <row r="8" spans="1:13" ht="15.75" thickBot="1" x14ac:dyDescent="0.3">
      <c r="F8" s="22">
        <f>SUM(F4:F7)</f>
        <v>328</v>
      </c>
      <c r="G8" s="22"/>
      <c r="H8" s="23">
        <f>SUM(H4:H7)</f>
        <v>1815650.56</v>
      </c>
      <c r="I8" s="23">
        <f>SUM(I4:I7)</f>
        <v>420145.96799999999</v>
      </c>
    </row>
    <row r="9" spans="1:13" ht="15.75" thickTop="1" x14ac:dyDescent="0.25"/>
    <row r="13" spans="1:13" x14ac:dyDescent="0.25">
      <c r="A13" s="27" t="s">
        <v>72</v>
      </c>
    </row>
    <row r="14" spans="1:13" x14ac:dyDescent="0.25">
      <c r="A14" s="27"/>
    </row>
    <row r="15" spans="1:13" x14ac:dyDescent="0.25">
      <c r="A15" s="27"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Rebate Summary</vt:lpstr>
      <vt:lpstr>Volume Rebate Oct - Dec 2024</vt:lpstr>
      <vt:lpstr>Volume Rebate Jan - March 2025</vt:lpstr>
      <vt:lpstr>Volume Rebate April 2025</vt:lpstr>
      <vt:lpstr>Volume Rebate May - July 2025</vt:lpstr>
      <vt:lpstr>Volume Reabte Aug - Oct 2025</vt:lpstr>
    </vt:vector>
  </TitlesOfParts>
  <Company>Lantheus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Willis, Rick</dc:creator>
  <cp:lastModifiedBy>Min Than</cp:lastModifiedBy>
  <dcterms:created xsi:type="dcterms:W3CDTF">2025-10-31T11:49:40Z</dcterms:created>
  <dcterms:modified xsi:type="dcterms:W3CDTF">2026-02-04T14:24:42Z</dcterms:modified>
</cp:coreProperties>
</file>