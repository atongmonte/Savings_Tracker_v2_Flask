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mthan_montefiore_org/Documents/saving initiatives/rebate/Cardinal/Q4 2025/"/>
    </mc:Choice>
  </mc:AlternateContent>
  <xr:revisionPtr revIDLastSave="0" documentId="8_{4842FEE3-D67B-4206-AF10-DD49DD43C4E4}" xr6:coauthVersionLast="47" xr6:coauthVersionMax="47" xr10:uidLastSave="{00000000-0000-0000-0000-000000000000}"/>
  <bookViews>
    <workbookView xWindow="-120" yWindow="-120" windowWidth="38640" windowHeight="21120" xr2:uid="{B8F577BD-25AF-4D38-B612-2A2557C4325F}"/>
  </bookViews>
  <sheets>
    <sheet name="SPD Credit Memo Q4 2025" sheetId="1" r:id="rId1"/>
  </sheets>
  <definedNames>
    <definedName name="_xlnm._FilterDatabase" localSheetId="0" hidden="1">'SPD Credit Memo Q4 2025'!$A$1:$T$36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1" l="1"/>
</calcChain>
</file>

<file path=xl/sharedStrings.xml><?xml version="1.0" encoding="utf-8"?>
<sst xmlns="http://schemas.openxmlformats.org/spreadsheetml/2006/main" count="578" uniqueCount="140">
  <si>
    <t>Calculation Run From Date</t>
  </si>
  <si>
    <t>Calculation Run To Date</t>
  </si>
  <si>
    <t>Calculation Run Positng Date</t>
  </si>
  <si>
    <t>Calculation Run</t>
  </si>
  <si>
    <t>Credit Memo #</t>
  </si>
  <si>
    <t>Agreement</t>
  </si>
  <si>
    <t>Agreement Type</t>
  </si>
  <si>
    <t>Agreement Type Description</t>
  </si>
  <si>
    <t>Agreement Description</t>
  </si>
  <si>
    <t>Agreement External Description</t>
  </si>
  <si>
    <t>Settlement Partner</t>
  </si>
  <si>
    <t>Settlement Partner Description</t>
  </si>
  <si>
    <t>Site</t>
  </si>
  <si>
    <t>Driver Description</t>
  </si>
  <si>
    <t>Rebate Type Description</t>
  </si>
  <si>
    <t>Plant</t>
  </si>
  <si>
    <t>Rebate Basis</t>
  </si>
  <si>
    <t>Rebate Percentage</t>
  </si>
  <si>
    <t>Additional Rebate Percentage</t>
  </si>
  <si>
    <t>Final Rebate Pay Out</t>
  </si>
  <si>
    <t>10/01/2025</t>
  </si>
  <si>
    <t>12/31/2025</t>
  </si>
  <si>
    <t>01/15/2026</t>
  </si>
  <si>
    <t>1002681430</t>
  </si>
  <si>
    <t>7024131535</t>
  </si>
  <si>
    <t>5000006929</t>
  </si>
  <si>
    <t>ZR03</t>
  </si>
  <si>
    <t>Customer Rebates</t>
  </si>
  <si>
    <t>Montefiore Health System, Inc</t>
  </si>
  <si>
    <t>QTRLY SPCLTY REBATE</t>
  </si>
  <si>
    <t>2052001442</t>
  </si>
  <si>
    <t>MONTEFIORE MC ONC PHCY E PHS</t>
  </si>
  <si>
    <t>MMC</t>
  </si>
  <si>
    <t>Customer Rebate Vol % Rebate</t>
  </si>
  <si>
    <t>P080</t>
  </si>
  <si>
    <t>7024131536</t>
  </si>
  <si>
    <t>2052010232</t>
  </si>
  <si>
    <t>MONTE WESTCHESTER SQ WAC</t>
  </si>
  <si>
    <t>7024131537</t>
  </si>
  <si>
    <t>2052028787</t>
  </si>
  <si>
    <t>MONTEFIORE WESTCHESTER SQUARE</t>
  </si>
  <si>
    <t>7024131538</t>
  </si>
  <si>
    <t>2052044223</t>
  </si>
  <si>
    <t>MONTE WESTCHESTER SQ 340B</t>
  </si>
  <si>
    <t>7024131539</t>
  </si>
  <si>
    <t>2052044679</t>
  </si>
  <si>
    <t>7024131540</t>
  </si>
  <si>
    <t>2057187483</t>
  </si>
  <si>
    <t>MONTEFIORE MC WKFLD 340BOP</t>
  </si>
  <si>
    <t>7024131541</t>
  </si>
  <si>
    <t>2057187514</t>
  </si>
  <si>
    <t>ST LUKES CORNWALL HOSP 340B</t>
  </si>
  <si>
    <t>St. Lukes</t>
  </si>
  <si>
    <t>7024131542</t>
  </si>
  <si>
    <t>2057188237</t>
  </si>
  <si>
    <t>WEILER HOSP EINSTEIN PHS</t>
  </si>
  <si>
    <t>7024131543</t>
  </si>
  <si>
    <t>2057188431</t>
  </si>
  <si>
    <t>7024131544</t>
  </si>
  <si>
    <t>2057188468</t>
  </si>
  <si>
    <t>MONTEFIORE MED CTR 340B</t>
  </si>
  <si>
    <t>7024131545</t>
  </si>
  <si>
    <t>2057188879</t>
  </si>
  <si>
    <t>MONTEFIORE MC HUTCHINSON 340B</t>
  </si>
  <si>
    <t>7024131546</t>
  </si>
  <si>
    <t>2057189008</t>
  </si>
  <si>
    <t>NYACK HOSPITAL 340B</t>
  </si>
  <si>
    <t>Nyack</t>
  </si>
  <si>
    <t>P090</t>
  </si>
  <si>
    <t>7024131547</t>
  </si>
  <si>
    <t>2057189245</t>
  </si>
  <si>
    <t>MONTEFIORE MED CTR PHS</t>
  </si>
  <si>
    <t>7024131548</t>
  </si>
  <si>
    <t>2057190431</t>
  </si>
  <si>
    <t>NYACK HOSPITAL WAC</t>
  </si>
  <si>
    <t>7024131549</t>
  </si>
  <si>
    <t>2057190444</t>
  </si>
  <si>
    <t>MONTEFIORE MC WKFLD WAC</t>
  </si>
  <si>
    <t>7025037650</t>
  </si>
  <si>
    <t>2057190466</t>
  </si>
  <si>
    <t>MONTEFIORE MED CTR MCP WAC</t>
  </si>
  <si>
    <t>7025037651</t>
  </si>
  <si>
    <t>2057190490</t>
  </si>
  <si>
    <t>MONTEFIORE MED CTR WAC</t>
  </si>
  <si>
    <t>7025037652</t>
  </si>
  <si>
    <t>2057190499</t>
  </si>
  <si>
    <t>SLCH NEWBURGH WAC</t>
  </si>
  <si>
    <t>7025037653</t>
  </si>
  <si>
    <t>2057190719</t>
  </si>
  <si>
    <t>WEILER HOSP EINSTEIN WAC</t>
  </si>
  <si>
    <t>7025037654</t>
  </si>
  <si>
    <t>2057196271</t>
  </si>
  <si>
    <t>THE WINIFRED MSTRSN BURKE REHA</t>
  </si>
  <si>
    <t>Burke</t>
  </si>
  <si>
    <t>7025037655</t>
  </si>
  <si>
    <t>2057196275</t>
  </si>
  <si>
    <t>MONTEFIORE NYACK HOSPITAL</t>
  </si>
  <si>
    <t>7025037656</t>
  </si>
  <si>
    <t>2057199429</t>
  </si>
  <si>
    <t>WHITE PLAINS HOSP MED CTR PH</t>
  </si>
  <si>
    <t>White Plains</t>
  </si>
  <si>
    <t>7025037657</t>
  </si>
  <si>
    <t>2057199821</t>
  </si>
  <si>
    <t>MONTEFIORE MED CTR PHCY DEPT</t>
  </si>
  <si>
    <t>7025037658</t>
  </si>
  <si>
    <t>2057199822</t>
  </si>
  <si>
    <t>WEILER HOSP EINSTEIN RT7 30</t>
  </si>
  <si>
    <t>7025037659</t>
  </si>
  <si>
    <t>2057200319</t>
  </si>
  <si>
    <t>MONTEFIORE MED CTR WAKEFIELD</t>
  </si>
  <si>
    <t>7025037660</t>
  </si>
  <si>
    <t>2057202107</t>
  </si>
  <si>
    <t>ST LUKES HOSP NEWBURGH</t>
  </si>
  <si>
    <t>7025037661</t>
  </si>
  <si>
    <t>2057202682</t>
  </si>
  <si>
    <t>MONTEFIORE MOUNT VERNON HOSP</t>
  </si>
  <si>
    <t>Mt. Vernon</t>
  </si>
  <si>
    <t>7025037662</t>
  </si>
  <si>
    <t>2057210363</t>
  </si>
  <si>
    <t>MONTEFIORE EINSTEIN ADVANCED CARE</t>
  </si>
  <si>
    <t>MEAC</t>
  </si>
  <si>
    <t>7025037663</t>
  </si>
  <si>
    <t>2057211099</t>
  </si>
  <si>
    <t>MONTEFIORE NEW ROCHELLE HOSPITAL 34</t>
  </si>
  <si>
    <t>New Rochelle</t>
  </si>
  <si>
    <t>7025037664</t>
  </si>
  <si>
    <t>2057211654</t>
  </si>
  <si>
    <t>MONTEFIORE NEW ROCHELLE HOSP WAC</t>
  </si>
  <si>
    <t>7025037665</t>
  </si>
  <si>
    <t>2057244132</t>
  </si>
  <si>
    <t>MONTEFIORE MOUNT VERNON HOSP WAC</t>
  </si>
  <si>
    <t>7025037666</t>
  </si>
  <si>
    <t>2057244138</t>
  </si>
  <si>
    <t>MONTEFIORE MOUNT VERNON HOSP 340B</t>
  </si>
  <si>
    <t>SPD Rebate Dollars 2025</t>
  </si>
  <si>
    <t xml:space="preserve">Site 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</si>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</sst>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;&quot;($&quot;#,##0.00\)"/>
  </numFmts>
  <fonts count="4" x14ac:knownFonts="1">
    <font>
      <sz val="10"/>
      <color rgb="FF000000"/>
      <name val="Arial"/>
    </font>
    <font>
      <sz val="10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horizontal="left" wrapText="1"/>
    </xf>
    <xf numFmtId="0" fontId="2" fillId="3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/>
    </xf>
    <xf numFmtId="44" fontId="2" fillId="3" borderId="1" xfId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44" fontId="3" fillId="3" borderId="2" xfId="1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0" fillId="0" borderId="3" xfId="0" applyBorder="1"/>
    <xf numFmtId="44" fontId="0" fillId="0" borderId="3" xfId="0" applyNumberFormat="1" applyBorder="1"/>
    <xf numFmtId="0" fontId="0" fillId="4" borderId="3" xfId="0" applyFill="1" applyBorder="1"/>
    <xf numFmtId="44" fontId="0" fillId="4" borderId="3" xfId="0" applyNumberFormat="1" applyFill="1" applyBorder="1"/>
    <xf numFmtId="164" fontId="3" fillId="5" borderId="2" xfId="0" applyNumberFormat="1" applyFont="1" applyFill="1" applyBorder="1" applyAlignment="1">
      <alignment horizontal="left"/>
    </xf>
  </cellXfs>
  <cellStyles count="2">
    <cellStyle name="Currency 6" xfId="1" xr:uid="{E7795690-1D8F-4487-B1C8-DDC97CEB629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F883-0A9A-4221-BAD5-C4D68604A468}">
  <sheetPr>
    <tabColor rgb="FFFFFF00"/>
  </sheetPr>
  <dimension ref="A1:AA36"/>
  <sheetViews>
    <sheetView tabSelected="1" topLeftCell="L1" workbookViewId="0">
      <selection activeCell="T36" sqref="T36"/>
    </sheetView>
  </sheetViews>
  <sheetFormatPr defaultRowHeight="12.75" x14ac:dyDescent="0.2"/>
  <cols>
    <col min="1" max="3" width="11.42578125" customWidth="1"/>
    <col min="4" max="6" width="12.42578125" customWidth="1"/>
    <col min="7" max="7" width="11.28515625" customWidth="1"/>
    <col min="8" max="8" width="17.28515625" customWidth="1"/>
    <col min="9" max="9" width="26.42578125" customWidth="1"/>
    <col min="10" max="10" width="23.7109375" customWidth="1"/>
    <col min="11" max="11" width="12.42578125" customWidth="1"/>
    <col min="12" max="12" width="41.140625" customWidth="1"/>
    <col min="13" max="13" width="10.7109375" bestFit="1" customWidth="1"/>
    <col min="14" max="14" width="28" customWidth="1"/>
    <col min="15" max="15" width="23.7109375" customWidth="1"/>
    <col min="16" max="16" width="10.7109375" customWidth="1"/>
    <col min="17" max="17" width="14.85546875" customWidth="1"/>
    <col min="18" max="19" width="11.7109375" customWidth="1"/>
    <col min="20" max="20" width="11.42578125" customWidth="1"/>
    <col min="23" max="24" width="22.5703125" bestFit="1" customWidth="1"/>
    <col min="25" max="28" width="12.28515625" bestFit="1" customWidth="1"/>
  </cols>
  <sheetData>
    <row r="1" spans="1:27" s="2" customFormat="1" ht="55.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7" s="2" customFormat="1" ht="19.7" customHeight="1" x14ac:dyDescent="0.2">
      <c r="A2" s="3" t="s">
        <v>20</v>
      </c>
      <c r="B2" s="3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29</v>
      </c>
      <c r="P2" s="4" t="s">
        <v>34</v>
      </c>
      <c r="Q2" s="5">
        <v>18521802.449999999</v>
      </c>
      <c r="R2" s="6"/>
      <c r="S2" s="7"/>
      <c r="T2" s="7">
        <v>55565.41</v>
      </c>
      <c r="W2"/>
      <c r="X2"/>
      <c r="Y2"/>
      <c r="Z2"/>
      <c r="AA2"/>
    </row>
    <row r="3" spans="1:27" s="2" customFormat="1" ht="19.7" customHeight="1" x14ac:dyDescent="0.2">
      <c r="A3" s="3" t="s">
        <v>20</v>
      </c>
      <c r="B3" s="3" t="s">
        <v>21</v>
      </c>
      <c r="C3" s="4" t="s">
        <v>22</v>
      </c>
      <c r="D3" s="4" t="s">
        <v>23</v>
      </c>
      <c r="E3" s="4" t="s">
        <v>35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36</v>
      </c>
      <c r="L3" s="4" t="s">
        <v>37</v>
      </c>
      <c r="M3" s="4" t="s">
        <v>32</v>
      </c>
      <c r="N3" s="4" t="s">
        <v>33</v>
      </c>
      <c r="O3" s="4" t="s">
        <v>29</v>
      </c>
      <c r="P3" s="4" t="s">
        <v>34</v>
      </c>
      <c r="Q3" s="5">
        <v>302641.23</v>
      </c>
      <c r="R3" s="6"/>
      <c r="S3" s="7"/>
      <c r="T3" s="7">
        <v>907.92</v>
      </c>
      <c r="W3"/>
      <c r="X3"/>
      <c r="Y3"/>
      <c r="Z3"/>
      <c r="AA3"/>
    </row>
    <row r="4" spans="1:27" s="2" customFormat="1" ht="19.7" customHeight="1" x14ac:dyDescent="0.2">
      <c r="A4" s="3" t="s">
        <v>20</v>
      </c>
      <c r="B4" s="3" t="s">
        <v>21</v>
      </c>
      <c r="C4" s="4" t="s">
        <v>22</v>
      </c>
      <c r="D4" s="4" t="s">
        <v>23</v>
      </c>
      <c r="E4" s="4" t="s">
        <v>38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39</v>
      </c>
      <c r="L4" s="4" t="s">
        <v>40</v>
      </c>
      <c r="M4" s="4" t="s">
        <v>32</v>
      </c>
      <c r="N4" s="4" t="s">
        <v>33</v>
      </c>
      <c r="O4" s="4" t="s">
        <v>29</v>
      </c>
      <c r="P4" s="4" t="s">
        <v>34</v>
      </c>
      <c r="Q4" s="5">
        <v>17.489999999999998</v>
      </c>
      <c r="R4" s="6"/>
      <c r="S4" s="7"/>
      <c r="T4" s="7">
        <v>0.05</v>
      </c>
      <c r="W4"/>
      <c r="X4"/>
      <c r="Y4"/>
      <c r="Z4"/>
      <c r="AA4"/>
    </row>
    <row r="5" spans="1:27" s="2" customFormat="1" ht="19.7" customHeight="1" x14ac:dyDescent="0.2">
      <c r="A5" s="3" t="s">
        <v>20</v>
      </c>
      <c r="B5" s="3" t="s">
        <v>21</v>
      </c>
      <c r="C5" s="4" t="s">
        <v>22</v>
      </c>
      <c r="D5" s="4" t="s">
        <v>23</v>
      </c>
      <c r="E5" s="4" t="s">
        <v>41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42</v>
      </c>
      <c r="L5" s="4" t="s">
        <v>43</v>
      </c>
      <c r="M5" s="4" t="s">
        <v>32</v>
      </c>
      <c r="N5" s="4" t="s">
        <v>33</v>
      </c>
      <c r="O5" s="4" t="s">
        <v>29</v>
      </c>
      <c r="P5" s="4" t="s">
        <v>34</v>
      </c>
      <c r="Q5" s="5">
        <v>1011597.72</v>
      </c>
      <c r="R5" s="6"/>
      <c r="S5" s="7"/>
      <c r="T5" s="7">
        <v>3034.79</v>
      </c>
      <c r="W5"/>
      <c r="X5"/>
      <c r="Y5"/>
      <c r="Z5"/>
      <c r="AA5"/>
    </row>
    <row r="6" spans="1:27" s="2" customFormat="1" ht="19.7" customHeight="1" x14ac:dyDescent="0.2">
      <c r="A6" s="3" t="s">
        <v>20</v>
      </c>
      <c r="B6" s="3" t="s">
        <v>21</v>
      </c>
      <c r="C6" s="4" t="s">
        <v>22</v>
      </c>
      <c r="D6" s="4" t="s">
        <v>23</v>
      </c>
      <c r="E6" s="4" t="s">
        <v>44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45</v>
      </c>
      <c r="L6" s="4" t="s">
        <v>37</v>
      </c>
      <c r="M6" s="4" t="s">
        <v>32</v>
      </c>
      <c r="N6" s="4" t="s">
        <v>33</v>
      </c>
      <c r="O6" s="4" t="s">
        <v>29</v>
      </c>
      <c r="P6" s="4" t="s">
        <v>34</v>
      </c>
      <c r="Q6" s="5">
        <v>19506</v>
      </c>
      <c r="R6" s="6"/>
      <c r="S6" s="7"/>
      <c r="T6" s="7">
        <v>58.52</v>
      </c>
      <c r="W6" s="13" t="s">
        <v>134</v>
      </c>
      <c r="X6" s="13"/>
      <c r="Y6" s="13"/>
      <c r="Z6" s="13"/>
      <c r="AA6" s="13"/>
    </row>
    <row r="7" spans="1:27" s="2" customFormat="1" ht="19.7" customHeight="1" x14ac:dyDescent="0.2">
      <c r="A7" s="3" t="s">
        <v>20</v>
      </c>
      <c r="B7" s="3" t="s">
        <v>21</v>
      </c>
      <c r="C7" s="4" t="s">
        <v>22</v>
      </c>
      <c r="D7" s="4" t="s">
        <v>23</v>
      </c>
      <c r="E7" s="4" t="s">
        <v>46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47</v>
      </c>
      <c r="L7" s="4" t="s">
        <v>48</v>
      </c>
      <c r="M7" s="4" t="s">
        <v>32</v>
      </c>
      <c r="N7" s="4" t="s">
        <v>33</v>
      </c>
      <c r="O7" s="4" t="s">
        <v>29</v>
      </c>
      <c r="P7" s="4" t="s">
        <v>34</v>
      </c>
      <c r="Q7" s="5">
        <v>69564.27</v>
      </c>
      <c r="R7" s="6"/>
      <c r="S7" s="7"/>
      <c r="T7" s="7">
        <v>208.69</v>
      </c>
      <c r="W7" s="13" t="s">
        <v>135</v>
      </c>
      <c r="X7" s="14" t="s">
        <v>136</v>
      </c>
      <c r="Y7" s="13" t="s">
        <v>137</v>
      </c>
      <c r="Z7" s="13" t="s">
        <v>138</v>
      </c>
      <c r="AA7" s="15" t="s">
        <v>139</v>
      </c>
    </row>
    <row r="8" spans="1:27" s="2" customFormat="1" ht="19.7" customHeight="1" x14ac:dyDescent="0.2">
      <c r="A8" s="3" t="s">
        <v>20</v>
      </c>
      <c r="B8" s="3" t="s">
        <v>21</v>
      </c>
      <c r="C8" s="4" t="s">
        <v>22</v>
      </c>
      <c r="D8" s="4" t="s">
        <v>23</v>
      </c>
      <c r="E8" s="4" t="s">
        <v>49</v>
      </c>
      <c r="F8" s="4" t="s">
        <v>25</v>
      </c>
      <c r="G8" s="4" t="s">
        <v>26</v>
      </c>
      <c r="H8" s="4" t="s">
        <v>27</v>
      </c>
      <c r="I8" s="4" t="s">
        <v>28</v>
      </c>
      <c r="J8" s="4" t="s">
        <v>29</v>
      </c>
      <c r="K8" s="4" t="s">
        <v>50</v>
      </c>
      <c r="L8" s="4" t="s">
        <v>51</v>
      </c>
      <c r="M8" s="4" t="s">
        <v>52</v>
      </c>
      <c r="N8" s="4" t="s">
        <v>33</v>
      </c>
      <c r="O8" s="4" t="s">
        <v>29</v>
      </c>
      <c r="P8" s="4" t="s">
        <v>34</v>
      </c>
      <c r="Q8" s="5">
        <v>2040495.12</v>
      </c>
      <c r="R8" s="6"/>
      <c r="S8" s="7"/>
      <c r="T8" s="7">
        <v>6121.49</v>
      </c>
      <c r="W8" s="13" t="s">
        <v>32</v>
      </c>
      <c r="X8" s="14">
        <v>160629.05999999997</v>
      </c>
      <c r="Y8" s="14">
        <v>183883.29</v>
      </c>
      <c r="Z8" s="14">
        <v>184370.36997000131</v>
      </c>
      <c r="AA8" s="16">
        <v>190495.19000000003</v>
      </c>
    </row>
    <row r="9" spans="1:27" s="2" customFormat="1" ht="19.7" customHeight="1" x14ac:dyDescent="0.2">
      <c r="A9" s="3" t="s">
        <v>20</v>
      </c>
      <c r="B9" s="3" t="s">
        <v>21</v>
      </c>
      <c r="C9" s="4" t="s">
        <v>22</v>
      </c>
      <c r="D9" s="4" t="s">
        <v>23</v>
      </c>
      <c r="E9" s="4" t="s">
        <v>53</v>
      </c>
      <c r="F9" s="4" t="s">
        <v>25</v>
      </c>
      <c r="G9" s="4" t="s">
        <v>26</v>
      </c>
      <c r="H9" s="4" t="s">
        <v>27</v>
      </c>
      <c r="I9" s="4" t="s">
        <v>28</v>
      </c>
      <c r="J9" s="4" t="s">
        <v>29</v>
      </c>
      <c r="K9" s="4" t="s">
        <v>54</v>
      </c>
      <c r="L9" s="4" t="s">
        <v>55</v>
      </c>
      <c r="M9" s="4" t="s">
        <v>32</v>
      </c>
      <c r="N9" s="4" t="s">
        <v>33</v>
      </c>
      <c r="O9" s="4" t="s">
        <v>29</v>
      </c>
      <c r="P9" s="4" t="s">
        <v>34</v>
      </c>
      <c r="Q9" s="5">
        <v>3936.76</v>
      </c>
      <c r="R9" s="6"/>
      <c r="S9" s="7"/>
      <c r="T9" s="7">
        <v>11.81</v>
      </c>
      <c r="W9" s="13" t="s">
        <v>120</v>
      </c>
      <c r="X9" s="14">
        <v>-12.12</v>
      </c>
      <c r="Y9" s="14">
        <v>-19.739999999999998</v>
      </c>
      <c r="Z9" s="14">
        <v>93.339150000000004</v>
      </c>
      <c r="AA9" s="16">
        <v>55.24</v>
      </c>
    </row>
    <row r="10" spans="1:27" s="2" customFormat="1" ht="19.7" customHeight="1" x14ac:dyDescent="0.2">
      <c r="A10" s="3" t="s">
        <v>20</v>
      </c>
      <c r="B10" s="3" t="s">
        <v>21</v>
      </c>
      <c r="C10" s="4" t="s">
        <v>22</v>
      </c>
      <c r="D10" s="4" t="s">
        <v>23</v>
      </c>
      <c r="E10" s="4" t="s">
        <v>56</v>
      </c>
      <c r="F10" s="4" t="s">
        <v>25</v>
      </c>
      <c r="G10" s="4" t="s">
        <v>26</v>
      </c>
      <c r="H10" s="4" t="s">
        <v>27</v>
      </c>
      <c r="I10" s="4" t="s">
        <v>28</v>
      </c>
      <c r="J10" s="4" t="s">
        <v>29</v>
      </c>
      <c r="K10" s="4" t="s">
        <v>57</v>
      </c>
      <c r="L10" s="4" t="s">
        <v>51</v>
      </c>
      <c r="M10" s="4" t="s">
        <v>52</v>
      </c>
      <c r="N10" s="4" t="s">
        <v>33</v>
      </c>
      <c r="O10" s="4" t="s">
        <v>29</v>
      </c>
      <c r="P10" s="4" t="s">
        <v>34</v>
      </c>
      <c r="Q10" s="5">
        <v>90993.47</v>
      </c>
      <c r="R10" s="6"/>
      <c r="S10" s="7"/>
      <c r="T10" s="7">
        <v>272.98</v>
      </c>
      <c r="W10" s="13" t="s">
        <v>93</v>
      </c>
      <c r="X10" s="14">
        <v>60.52</v>
      </c>
      <c r="Y10" s="14">
        <v>111.3</v>
      </c>
      <c r="Z10" s="14">
        <v>64.320239999999998</v>
      </c>
      <c r="AA10" s="16">
        <v>72.34</v>
      </c>
    </row>
    <row r="11" spans="1:27" s="2" customFormat="1" ht="19.7" customHeight="1" x14ac:dyDescent="0.2">
      <c r="A11" s="3" t="s">
        <v>20</v>
      </c>
      <c r="B11" s="3" t="s">
        <v>21</v>
      </c>
      <c r="C11" s="4" t="s">
        <v>22</v>
      </c>
      <c r="D11" s="4" t="s">
        <v>23</v>
      </c>
      <c r="E11" s="4" t="s">
        <v>58</v>
      </c>
      <c r="F11" s="4" t="s">
        <v>25</v>
      </c>
      <c r="G11" s="4" t="s">
        <v>26</v>
      </c>
      <c r="H11" s="4" t="s">
        <v>27</v>
      </c>
      <c r="I11" s="4" t="s">
        <v>28</v>
      </c>
      <c r="J11" s="4" t="s">
        <v>29</v>
      </c>
      <c r="K11" s="4" t="s">
        <v>59</v>
      </c>
      <c r="L11" s="4" t="s">
        <v>60</v>
      </c>
      <c r="M11" s="4" t="s">
        <v>32</v>
      </c>
      <c r="N11" s="4" t="s">
        <v>33</v>
      </c>
      <c r="O11" s="4" t="s">
        <v>29</v>
      </c>
      <c r="P11" s="4" t="s">
        <v>34</v>
      </c>
      <c r="Q11" s="5">
        <v>16315445.310000001</v>
      </c>
      <c r="R11" s="6"/>
      <c r="S11" s="7"/>
      <c r="T11" s="7">
        <v>48946.33</v>
      </c>
      <c r="W11" s="13" t="s">
        <v>116</v>
      </c>
      <c r="X11" s="14">
        <v>139.76</v>
      </c>
      <c r="Y11" s="14">
        <v>312.46000000000004</v>
      </c>
      <c r="Z11" s="14">
        <v>203.26584000000003</v>
      </c>
      <c r="AA11" s="16">
        <v>174.99</v>
      </c>
    </row>
    <row r="12" spans="1:27" s="2" customFormat="1" ht="19.7" customHeight="1" x14ac:dyDescent="0.2">
      <c r="A12" s="3" t="s">
        <v>20</v>
      </c>
      <c r="B12" s="3" t="s">
        <v>21</v>
      </c>
      <c r="C12" s="4" t="s">
        <v>22</v>
      </c>
      <c r="D12" s="4" t="s">
        <v>23</v>
      </c>
      <c r="E12" s="4" t="s">
        <v>61</v>
      </c>
      <c r="F12" s="4" t="s">
        <v>25</v>
      </c>
      <c r="G12" s="4" t="s">
        <v>26</v>
      </c>
      <c r="H12" s="4" t="s">
        <v>27</v>
      </c>
      <c r="I12" s="4" t="s">
        <v>28</v>
      </c>
      <c r="J12" s="4" t="s">
        <v>29</v>
      </c>
      <c r="K12" s="4" t="s">
        <v>62</v>
      </c>
      <c r="L12" s="4" t="s">
        <v>63</v>
      </c>
      <c r="M12" s="4" t="s">
        <v>32</v>
      </c>
      <c r="N12" s="4" t="s">
        <v>33</v>
      </c>
      <c r="O12" s="4" t="s">
        <v>29</v>
      </c>
      <c r="P12" s="4" t="s">
        <v>34</v>
      </c>
      <c r="Q12" s="5">
        <v>158738.75</v>
      </c>
      <c r="R12" s="6"/>
      <c r="S12" s="7"/>
      <c r="T12" s="7">
        <v>476.22</v>
      </c>
      <c r="W12" s="13" t="s">
        <v>124</v>
      </c>
      <c r="X12" s="14">
        <v>236.57</v>
      </c>
      <c r="Y12" s="14">
        <v>355.86</v>
      </c>
      <c r="Z12" s="14">
        <v>197.88809999999998</v>
      </c>
      <c r="AA12" s="16">
        <v>263.14999999999998</v>
      </c>
    </row>
    <row r="13" spans="1:27" s="2" customFormat="1" ht="19.7" customHeight="1" x14ac:dyDescent="0.2">
      <c r="A13" s="3" t="s">
        <v>20</v>
      </c>
      <c r="B13" s="3" t="s">
        <v>21</v>
      </c>
      <c r="C13" s="4" t="s">
        <v>22</v>
      </c>
      <c r="D13" s="4" t="s">
        <v>23</v>
      </c>
      <c r="E13" s="4" t="s">
        <v>64</v>
      </c>
      <c r="F13" s="4" t="s">
        <v>25</v>
      </c>
      <c r="G13" s="4" t="s">
        <v>26</v>
      </c>
      <c r="H13" s="4" t="s">
        <v>27</v>
      </c>
      <c r="I13" s="4" t="s">
        <v>28</v>
      </c>
      <c r="J13" s="4" t="s">
        <v>29</v>
      </c>
      <c r="K13" s="4" t="s">
        <v>65</v>
      </c>
      <c r="L13" s="4" t="s">
        <v>66</v>
      </c>
      <c r="M13" s="4" t="s">
        <v>67</v>
      </c>
      <c r="N13" s="4" t="s">
        <v>33</v>
      </c>
      <c r="O13" s="4" t="s">
        <v>29</v>
      </c>
      <c r="P13" s="4" t="s">
        <v>34</v>
      </c>
      <c r="Q13" s="5">
        <v>7758170.9900000002</v>
      </c>
      <c r="R13" s="6"/>
      <c r="S13" s="7"/>
      <c r="T13" s="7">
        <v>23274.51</v>
      </c>
      <c r="W13" s="13" t="s">
        <v>67</v>
      </c>
      <c r="X13" s="14">
        <v>22052.65</v>
      </c>
      <c r="Y13" s="14">
        <v>21160.75</v>
      </c>
      <c r="Z13" s="14">
        <v>19992.226560000014</v>
      </c>
      <c r="AA13" s="16">
        <v>24097.679999999997</v>
      </c>
    </row>
    <row r="14" spans="1:27" s="2" customFormat="1" ht="19.7" customHeight="1" x14ac:dyDescent="0.2">
      <c r="A14" s="3" t="s">
        <v>20</v>
      </c>
      <c r="B14" s="3" t="s">
        <v>21</v>
      </c>
      <c r="C14" s="4" t="s">
        <v>22</v>
      </c>
      <c r="D14" s="4" t="s">
        <v>23</v>
      </c>
      <c r="E14" s="4" t="s">
        <v>64</v>
      </c>
      <c r="F14" s="4" t="s">
        <v>25</v>
      </c>
      <c r="G14" s="4" t="s">
        <v>26</v>
      </c>
      <c r="H14" s="4" t="s">
        <v>27</v>
      </c>
      <c r="I14" s="4" t="s">
        <v>28</v>
      </c>
      <c r="J14" s="4" t="s">
        <v>29</v>
      </c>
      <c r="K14" s="4" t="s">
        <v>65</v>
      </c>
      <c r="L14" s="4" t="s">
        <v>66</v>
      </c>
      <c r="M14" s="4" t="s">
        <v>67</v>
      </c>
      <c r="N14" s="4" t="s">
        <v>33</v>
      </c>
      <c r="O14" s="4" t="s">
        <v>29</v>
      </c>
      <c r="P14" s="4" t="s">
        <v>68</v>
      </c>
      <c r="Q14" s="5">
        <v>0.01</v>
      </c>
      <c r="R14" s="6"/>
      <c r="S14" s="7"/>
      <c r="T14" s="7">
        <v>0</v>
      </c>
      <c r="W14" s="13" t="s">
        <v>52</v>
      </c>
      <c r="X14" s="14">
        <v>4655.6400000000003</v>
      </c>
      <c r="Y14" s="14">
        <v>6323.0800000000008</v>
      </c>
      <c r="Z14" s="14">
        <v>6865.6389600000048</v>
      </c>
      <c r="AA14" s="16">
        <v>7214.9699999999993</v>
      </c>
    </row>
    <row r="15" spans="1:27" s="2" customFormat="1" ht="19.7" customHeight="1" x14ac:dyDescent="0.2">
      <c r="A15" s="3" t="s">
        <v>20</v>
      </c>
      <c r="B15" s="3" t="s">
        <v>21</v>
      </c>
      <c r="C15" s="4" t="s">
        <v>22</v>
      </c>
      <c r="D15" s="4" t="s">
        <v>23</v>
      </c>
      <c r="E15" s="4" t="s">
        <v>69</v>
      </c>
      <c r="F15" s="4" t="s">
        <v>25</v>
      </c>
      <c r="G15" s="4" t="s">
        <v>26</v>
      </c>
      <c r="H15" s="4" t="s">
        <v>27</v>
      </c>
      <c r="I15" s="4" t="s">
        <v>28</v>
      </c>
      <c r="J15" s="4" t="s">
        <v>29</v>
      </c>
      <c r="K15" s="4" t="s">
        <v>70</v>
      </c>
      <c r="L15" s="4" t="s">
        <v>71</v>
      </c>
      <c r="M15" s="4" t="s">
        <v>32</v>
      </c>
      <c r="N15" s="4" t="s">
        <v>33</v>
      </c>
      <c r="O15" s="4" t="s">
        <v>29</v>
      </c>
      <c r="P15" s="4" t="s">
        <v>34</v>
      </c>
      <c r="Q15" s="5">
        <v>19914303.949999999</v>
      </c>
      <c r="R15" s="6"/>
      <c r="S15" s="7"/>
      <c r="T15" s="7">
        <v>59742.91</v>
      </c>
      <c r="W15" s="13" t="s">
        <v>100</v>
      </c>
      <c r="X15" s="14">
        <v>48999.44</v>
      </c>
      <c r="Y15" s="14">
        <v>51252.51</v>
      </c>
      <c r="Z15" s="14">
        <v>57472.536989999884</v>
      </c>
      <c r="AA15" s="16">
        <v>62562.720000000001</v>
      </c>
    </row>
    <row r="16" spans="1:27" s="2" customFormat="1" ht="19.7" customHeight="1" x14ac:dyDescent="0.2">
      <c r="A16" s="3" t="s">
        <v>20</v>
      </c>
      <c r="B16" s="3" t="s">
        <v>21</v>
      </c>
      <c r="C16" s="4" t="s">
        <v>22</v>
      </c>
      <c r="D16" s="4" t="s">
        <v>23</v>
      </c>
      <c r="E16" s="4" t="s">
        <v>69</v>
      </c>
      <c r="F16" s="4" t="s">
        <v>25</v>
      </c>
      <c r="G16" s="4" t="s">
        <v>26</v>
      </c>
      <c r="H16" s="4" t="s">
        <v>27</v>
      </c>
      <c r="I16" s="4" t="s">
        <v>28</v>
      </c>
      <c r="J16" s="4" t="s">
        <v>29</v>
      </c>
      <c r="K16" s="4" t="s">
        <v>70</v>
      </c>
      <c r="L16" s="4" t="s">
        <v>71</v>
      </c>
      <c r="M16" s="4" t="s">
        <v>32</v>
      </c>
      <c r="N16" s="4" t="s">
        <v>33</v>
      </c>
      <c r="O16" s="4" t="s">
        <v>29</v>
      </c>
      <c r="P16" s="4" t="s">
        <v>68</v>
      </c>
      <c r="Q16" s="5">
        <v>3098.58</v>
      </c>
      <c r="R16" s="6"/>
      <c r="S16" s="7"/>
      <c r="T16" s="7">
        <v>9.3000000000000007</v>
      </c>
      <c r="W16" s="13"/>
      <c r="X16" s="14">
        <v>236761.52</v>
      </c>
      <c r="Y16" s="14">
        <v>263379.50999999995</v>
      </c>
      <c r="Z16" s="14">
        <v>269259.58581000124</v>
      </c>
      <c r="AA16" s="16">
        <v>284936.28000000003</v>
      </c>
    </row>
    <row r="17" spans="1:20" s="2" customFormat="1" ht="19.7" customHeight="1" x14ac:dyDescent="0.2">
      <c r="A17" s="3" t="s">
        <v>20</v>
      </c>
      <c r="B17" s="3" t="s">
        <v>21</v>
      </c>
      <c r="C17" s="4" t="s">
        <v>22</v>
      </c>
      <c r="D17" s="4" t="s">
        <v>23</v>
      </c>
      <c r="E17" s="4" t="s">
        <v>72</v>
      </c>
      <c r="F17" s="4" t="s">
        <v>25</v>
      </c>
      <c r="G17" s="4" t="s">
        <v>26</v>
      </c>
      <c r="H17" s="4" t="s">
        <v>27</v>
      </c>
      <c r="I17" s="4" t="s">
        <v>28</v>
      </c>
      <c r="J17" s="4" t="s">
        <v>29</v>
      </c>
      <c r="K17" s="4" t="s">
        <v>73</v>
      </c>
      <c r="L17" s="4" t="s">
        <v>74</v>
      </c>
      <c r="M17" s="4" t="s">
        <v>67</v>
      </c>
      <c r="N17" s="4" t="s">
        <v>33</v>
      </c>
      <c r="O17" s="4" t="s">
        <v>29</v>
      </c>
      <c r="P17" s="4" t="s">
        <v>34</v>
      </c>
      <c r="Q17" s="5">
        <v>119782.65</v>
      </c>
      <c r="R17" s="6"/>
      <c r="S17" s="7"/>
      <c r="T17" s="7">
        <v>359.35</v>
      </c>
    </row>
    <row r="18" spans="1:20" s="2" customFormat="1" ht="19.7" customHeight="1" x14ac:dyDescent="0.2">
      <c r="A18" s="3" t="s">
        <v>20</v>
      </c>
      <c r="B18" s="3" t="s">
        <v>21</v>
      </c>
      <c r="C18" s="4" t="s">
        <v>22</v>
      </c>
      <c r="D18" s="4" t="s">
        <v>23</v>
      </c>
      <c r="E18" s="4" t="s">
        <v>75</v>
      </c>
      <c r="F18" s="4" t="s">
        <v>25</v>
      </c>
      <c r="G18" s="4" t="s">
        <v>26</v>
      </c>
      <c r="H18" s="4" t="s">
        <v>27</v>
      </c>
      <c r="I18" s="4" t="s">
        <v>28</v>
      </c>
      <c r="J18" s="4" t="s">
        <v>29</v>
      </c>
      <c r="K18" s="4" t="s">
        <v>76</v>
      </c>
      <c r="L18" s="4" t="s">
        <v>77</v>
      </c>
      <c r="M18" s="4" t="s">
        <v>32</v>
      </c>
      <c r="N18" s="4" t="s">
        <v>33</v>
      </c>
      <c r="O18" s="4" t="s">
        <v>29</v>
      </c>
      <c r="P18" s="4" t="s">
        <v>34</v>
      </c>
      <c r="Q18" s="5">
        <v>339213.71</v>
      </c>
      <c r="R18" s="6"/>
      <c r="S18" s="7"/>
      <c r="T18" s="7">
        <v>1017.64</v>
      </c>
    </row>
    <row r="19" spans="1:20" s="2" customFormat="1" ht="19.7" customHeight="1" x14ac:dyDescent="0.2">
      <c r="A19" s="3" t="s">
        <v>20</v>
      </c>
      <c r="B19" s="3" t="s">
        <v>21</v>
      </c>
      <c r="C19" s="4" t="s">
        <v>22</v>
      </c>
      <c r="D19" s="4" t="s">
        <v>23</v>
      </c>
      <c r="E19" s="4" t="s">
        <v>78</v>
      </c>
      <c r="F19" s="4" t="s">
        <v>25</v>
      </c>
      <c r="G19" s="4" t="s">
        <v>26</v>
      </c>
      <c r="H19" s="4" t="s">
        <v>27</v>
      </c>
      <c r="I19" s="4" t="s">
        <v>28</v>
      </c>
      <c r="J19" s="4" t="s">
        <v>29</v>
      </c>
      <c r="K19" s="4" t="s">
        <v>79</v>
      </c>
      <c r="L19" s="4" t="s">
        <v>80</v>
      </c>
      <c r="M19" s="4" t="s">
        <v>32</v>
      </c>
      <c r="N19" s="4" t="s">
        <v>33</v>
      </c>
      <c r="O19" s="4" t="s">
        <v>29</v>
      </c>
      <c r="P19" s="4" t="s">
        <v>34</v>
      </c>
      <c r="Q19" s="5">
        <v>4283156.41</v>
      </c>
      <c r="R19" s="6"/>
      <c r="S19" s="7"/>
      <c r="T19" s="7">
        <v>12849.47</v>
      </c>
    </row>
    <row r="20" spans="1:20" s="2" customFormat="1" ht="19.7" customHeight="1" x14ac:dyDescent="0.2">
      <c r="A20" s="3" t="s">
        <v>20</v>
      </c>
      <c r="B20" s="3" t="s">
        <v>21</v>
      </c>
      <c r="C20" s="4" t="s">
        <v>22</v>
      </c>
      <c r="D20" s="4" t="s">
        <v>23</v>
      </c>
      <c r="E20" s="4" t="s">
        <v>81</v>
      </c>
      <c r="F20" s="4" t="s">
        <v>25</v>
      </c>
      <c r="G20" s="4" t="s">
        <v>26</v>
      </c>
      <c r="H20" s="4" t="s">
        <v>27</v>
      </c>
      <c r="I20" s="4" t="s">
        <v>28</v>
      </c>
      <c r="J20" s="4" t="s">
        <v>29</v>
      </c>
      <c r="K20" s="4" t="s">
        <v>82</v>
      </c>
      <c r="L20" s="4" t="s">
        <v>83</v>
      </c>
      <c r="M20" s="4" t="s">
        <v>32</v>
      </c>
      <c r="N20" s="4" t="s">
        <v>33</v>
      </c>
      <c r="O20" s="4" t="s">
        <v>29</v>
      </c>
      <c r="P20" s="4" t="s">
        <v>34</v>
      </c>
      <c r="Q20" s="5">
        <v>1166727.3</v>
      </c>
      <c r="R20" s="6"/>
      <c r="S20" s="7"/>
      <c r="T20" s="7">
        <v>3500.18</v>
      </c>
    </row>
    <row r="21" spans="1:20" s="2" customFormat="1" ht="19.7" customHeight="1" x14ac:dyDescent="0.2">
      <c r="A21" s="3" t="s">
        <v>20</v>
      </c>
      <c r="B21" s="3" t="s">
        <v>21</v>
      </c>
      <c r="C21" s="4" t="s">
        <v>22</v>
      </c>
      <c r="D21" s="4" t="s">
        <v>23</v>
      </c>
      <c r="E21" s="4" t="s">
        <v>84</v>
      </c>
      <c r="F21" s="4" t="s">
        <v>25</v>
      </c>
      <c r="G21" s="4" t="s">
        <v>26</v>
      </c>
      <c r="H21" s="4" t="s">
        <v>27</v>
      </c>
      <c r="I21" s="4" t="s">
        <v>28</v>
      </c>
      <c r="J21" s="4" t="s">
        <v>29</v>
      </c>
      <c r="K21" s="4" t="s">
        <v>85</v>
      </c>
      <c r="L21" s="4" t="s">
        <v>86</v>
      </c>
      <c r="M21" s="4" t="s">
        <v>52</v>
      </c>
      <c r="N21" s="4" t="s">
        <v>33</v>
      </c>
      <c r="O21" s="4" t="s">
        <v>29</v>
      </c>
      <c r="P21" s="4" t="s">
        <v>34</v>
      </c>
      <c r="Q21" s="5">
        <v>77393.119999999995</v>
      </c>
      <c r="R21" s="6"/>
      <c r="S21" s="7"/>
      <c r="T21" s="7">
        <v>232.18</v>
      </c>
    </row>
    <row r="22" spans="1:20" s="2" customFormat="1" ht="19.7" customHeight="1" x14ac:dyDescent="0.2">
      <c r="A22" s="3" t="s">
        <v>20</v>
      </c>
      <c r="B22" s="3" t="s">
        <v>21</v>
      </c>
      <c r="C22" s="4" t="s">
        <v>22</v>
      </c>
      <c r="D22" s="4" t="s">
        <v>23</v>
      </c>
      <c r="E22" s="4" t="s">
        <v>87</v>
      </c>
      <c r="F22" s="4" t="s">
        <v>25</v>
      </c>
      <c r="G22" s="4" t="s">
        <v>26</v>
      </c>
      <c r="H22" s="4" t="s">
        <v>27</v>
      </c>
      <c r="I22" s="4" t="s">
        <v>28</v>
      </c>
      <c r="J22" s="4" t="s">
        <v>29</v>
      </c>
      <c r="K22" s="4" t="s">
        <v>88</v>
      </c>
      <c r="L22" s="4" t="s">
        <v>89</v>
      </c>
      <c r="M22" s="4" t="s">
        <v>32</v>
      </c>
      <c r="N22" s="4" t="s">
        <v>33</v>
      </c>
      <c r="O22" s="4" t="s">
        <v>29</v>
      </c>
      <c r="P22" s="4" t="s">
        <v>34</v>
      </c>
      <c r="Q22" s="5">
        <v>132635.03</v>
      </c>
      <c r="R22" s="6"/>
      <c r="S22" s="7"/>
      <c r="T22" s="7">
        <v>397.91</v>
      </c>
    </row>
    <row r="23" spans="1:20" s="2" customFormat="1" ht="19.7" customHeight="1" x14ac:dyDescent="0.2">
      <c r="A23" s="3" t="s">
        <v>20</v>
      </c>
      <c r="B23" s="3" t="s">
        <v>21</v>
      </c>
      <c r="C23" s="4" t="s">
        <v>22</v>
      </c>
      <c r="D23" s="4" t="s">
        <v>23</v>
      </c>
      <c r="E23" s="4" t="s">
        <v>90</v>
      </c>
      <c r="F23" s="4" t="s">
        <v>25</v>
      </c>
      <c r="G23" s="4" t="s">
        <v>26</v>
      </c>
      <c r="H23" s="4" t="s">
        <v>27</v>
      </c>
      <c r="I23" s="4" t="s">
        <v>28</v>
      </c>
      <c r="J23" s="4" t="s">
        <v>29</v>
      </c>
      <c r="K23" s="4" t="s">
        <v>91</v>
      </c>
      <c r="L23" s="4" t="s">
        <v>92</v>
      </c>
      <c r="M23" s="4" t="s">
        <v>93</v>
      </c>
      <c r="N23" s="4" t="s">
        <v>33</v>
      </c>
      <c r="O23" s="4" t="s">
        <v>29</v>
      </c>
      <c r="P23" s="4" t="s">
        <v>34</v>
      </c>
      <c r="Q23" s="5">
        <v>24112.39</v>
      </c>
      <c r="R23" s="6"/>
      <c r="S23" s="7"/>
      <c r="T23" s="7">
        <v>72.34</v>
      </c>
    </row>
    <row r="24" spans="1:20" s="2" customFormat="1" ht="19.7" customHeight="1" x14ac:dyDescent="0.2">
      <c r="A24" s="3" t="s">
        <v>20</v>
      </c>
      <c r="B24" s="3" t="s">
        <v>21</v>
      </c>
      <c r="C24" s="4" t="s">
        <v>22</v>
      </c>
      <c r="D24" s="4" t="s">
        <v>23</v>
      </c>
      <c r="E24" s="4" t="s">
        <v>94</v>
      </c>
      <c r="F24" s="4" t="s">
        <v>25</v>
      </c>
      <c r="G24" s="4" t="s">
        <v>26</v>
      </c>
      <c r="H24" s="4" t="s">
        <v>27</v>
      </c>
      <c r="I24" s="4" t="s">
        <v>28</v>
      </c>
      <c r="J24" s="4" t="s">
        <v>29</v>
      </c>
      <c r="K24" s="4" t="s">
        <v>95</v>
      </c>
      <c r="L24" s="4" t="s">
        <v>96</v>
      </c>
      <c r="M24" s="4" t="s">
        <v>67</v>
      </c>
      <c r="N24" s="4" t="s">
        <v>33</v>
      </c>
      <c r="O24" s="4" t="s">
        <v>29</v>
      </c>
      <c r="P24" s="4" t="s">
        <v>34</v>
      </c>
      <c r="Q24" s="5">
        <v>154606.37</v>
      </c>
      <c r="R24" s="6"/>
      <c r="S24" s="7"/>
      <c r="T24" s="7">
        <v>463.82</v>
      </c>
    </row>
    <row r="25" spans="1:20" s="2" customFormat="1" ht="19.7" customHeight="1" x14ac:dyDescent="0.2">
      <c r="A25" s="3" t="s">
        <v>20</v>
      </c>
      <c r="B25" s="3" t="s">
        <v>21</v>
      </c>
      <c r="C25" s="4" t="s">
        <v>22</v>
      </c>
      <c r="D25" s="4" t="s">
        <v>23</v>
      </c>
      <c r="E25" s="4" t="s">
        <v>97</v>
      </c>
      <c r="F25" s="4" t="s">
        <v>25</v>
      </c>
      <c r="G25" s="4" t="s">
        <v>26</v>
      </c>
      <c r="H25" s="4" t="s">
        <v>27</v>
      </c>
      <c r="I25" s="4" t="s">
        <v>28</v>
      </c>
      <c r="J25" s="4" t="s">
        <v>29</v>
      </c>
      <c r="K25" s="4" t="s">
        <v>98</v>
      </c>
      <c r="L25" s="4" t="s">
        <v>99</v>
      </c>
      <c r="M25" s="4" t="s">
        <v>100</v>
      </c>
      <c r="N25" s="4" t="s">
        <v>33</v>
      </c>
      <c r="O25" s="4" t="s">
        <v>29</v>
      </c>
      <c r="P25" s="4" t="s">
        <v>34</v>
      </c>
      <c r="Q25" s="5">
        <v>20854239.530000001</v>
      </c>
      <c r="R25" s="6"/>
      <c r="S25" s="7"/>
      <c r="T25" s="7">
        <v>62562.720000000001</v>
      </c>
    </row>
    <row r="26" spans="1:20" s="2" customFormat="1" ht="19.7" customHeight="1" x14ac:dyDescent="0.2">
      <c r="A26" s="3" t="s">
        <v>20</v>
      </c>
      <c r="B26" s="3" t="s">
        <v>21</v>
      </c>
      <c r="C26" s="4" t="s">
        <v>22</v>
      </c>
      <c r="D26" s="4" t="s">
        <v>23</v>
      </c>
      <c r="E26" s="4" t="s">
        <v>101</v>
      </c>
      <c r="F26" s="4" t="s">
        <v>25</v>
      </c>
      <c r="G26" s="4" t="s">
        <v>26</v>
      </c>
      <c r="H26" s="4" t="s">
        <v>27</v>
      </c>
      <c r="I26" s="4" t="s">
        <v>28</v>
      </c>
      <c r="J26" s="4" t="s">
        <v>29</v>
      </c>
      <c r="K26" s="4" t="s">
        <v>102</v>
      </c>
      <c r="L26" s="4" t="s">
        <v>103</v>
      </c>
      <c r="M26" s="4" t="s">
        <v>32</v>
      </c>
      <c r="N26" s="4" t="s">
        <v>33</v>
      </c>
      <c r="O26" s="4" t="s">
        <v>29</v>
      </c>
      <c r="P26" s="4" t="s">
        <v>34</v>
      </c>
      <c r="Q26" s="5">
        <v>830819.14</v>
      </c>
      <c r="R26" s="6"/>
      <c r="S26" s="7"/>
      <c r="T26" s="7">
        <v>2492.46</v>
      </c>
    </row>
    <row r="27" spans="1:20" s="2" customFormat="1" ht="19.7" customHeight="1" x14ac:dyDescent="0.2">
      <c r="A27" s="3" t="s">
        <v>20</v>
      </c>
      <c r="B27" s="3" t="s">
        <v>21</v>
      </c>
      <c r="C27" s="4" t="s">
        <v>22</v>
      </c>
      <c r="D27" s="4" t="s">
        <v>23</v>
      </c>
      <c r="E27" s="4" t="s">
        <v>104</v>
      </c>
      <c r="F27" s="4" t="s">
        <v>25</v>
      </c>
      <c r="G27" s="4" t="s">
        <v>26</v>
      </c>
      <c r="H27" s="4" t="s">
        <v>27</v>
      </c>
      <c r="I27" s="4" t="s">
        <v>28</v>
      </c>
      <c r="J27" s="4" t="s">
        <v>29</v>
      </c>
      <c r="K27" s="4" t="s">
        <v>105</v>
      </c>
      <c r="L27" s="4" t="s">
        <v>106</v>
      </c>
      <c r="M27" s="4" t="s">
        <v>32</v>
      </c>
      <c r="N27" s="4" t="s">
        <v>33</v>
      </c>
      <c r="O27" s="4" t="s">
        <v>29</v>
      </c>
      <c r="P27" s="4" t="s">
        <v>34</v>
      </c>
      <c r="Q27" s="5">
        <v>306910.28000000003</v>
      </c>
      <c r="R27" s="6"/>
      <c r="S27" s="7"/>
      <c r="T27" s="7">
        <v>920.73</v>
      </c>
    </row>
    <row r="28" spans="1:20" s="2" customFormat="1" ht="19.7" customHeight="1" x14ac:dyDescent="0.2">
      <c r="A28" s="3" t="s">
        <v>20</v>
      </c>
      <c r="B28" s="3" t="s">
        <v>21</v>
      </c>
      <c r="C28" s="4" t="s">
        <v>22</v>
      </c>
      <c r="D28" s="4" t="s">
        <v>23</v>
      </c>
      <c r="E28" s="4" t="s">
        <v>107</v>
      </c>
      <c r="F28" s="4" t="s">
        <v>25</v>
      </c>
      <c r="G28" s="4" t="s">
        <v>26</v>
      </c>
      <c r="H28" s="4" t="s">
        <v>27</v>
      </c>
      <c r="I28" s="4" t="s">
        <v>28</v>
      </c>
      <c r="J28" s="4" t="s">
        <v>29</v>
      </c>
      <c r="K28" s="4" t="s">
        <v>108</v>
      </c>
      <c r="L28" s="4" t="s">
        <v>109</v>
      </c>
      <c r="M28" s="4" t="s">
        <v>32</v>
      </c>
      <c r="N28" s="4" t="s">
        <v>33</v>
      </c>
      <c r="O28" s="4" t="s">
        <v>29</v>
      </c>
      <c r="P28" s="4" t="s">
        <v>34</v>
      </c>
      <c r="Q28" s="5">
        <v>118282.12</v>
      </c>
      <c r="R28" s="6"/>
      <c r="S28" s="7"/>
      <c r="T28" s="7">
        <v>354.85</v>
      </c>
    </row>
    <row r="29" spans="1:20" s="2" customFormat="1" ht="19.7" customHeight="1" x14ac:dyDescent="0.2">
      <c r="A29" s="3" t="s">
        <v>20</v>
      </c>
      <c r="B29" s="3" t="s">
        <v>21</v>
      </c>
      <c r="C29" s="4" t="s">
        <v>22</v>
      </c>
      <c r="D29" s="4" t="s">
        <v>23</v>
      </c>
      <c r="E29" s="4" t="s">
        <v>110</v>
      </c>
      <c r="F29" s="4" t="s">
        <v>25</v>
      </c>
      <c r="G29" s="4" t="s">
        <v>26</v>
      </c>
      <c r="H29" s="4" t="s">
        <v>27</v>
      </c>
      <c r="I29" s="4" t="s">
        <v>28</v>
      </c>
      <c r="J29" s="4" t="s">
        <v>29</v>
      </c>
      <c r="K29" s="4" t="s">
        <v>111</v>
      </c>
      <c r="L29" s="4" t="s">
        <v>112</v>
      </c>
      <c r="M29" s="4" t="s">
        <v>52</v>
      </c>
      <c r="N29" s="4" t="s">
        <v>33</v>
      </c>
      <c r="O29" s="4" t="s">
        <v>29</v>
      </c>
      <c r="P29" s="4" t="s">
        <v>34</v>
      </c>
      <c r="Q29" s="5">
        <v>196105.96</v>
      </c>
      <c r="R29" s="6"/>
      <c r="S29" s="7"/>
      <c r="T29" s="7">
        <v>588.32000000000005</v>
      </c>
    </row>
    <row r="30" spans="1:20" s="2" customFormat="1" ht="19.7" customHeight="1" x14ac:dyDescent="0.2">
      <c r="A30" s="3" t="s">
        <v>20</v>
      </c>
      <c r="B30" s="3" t="s">
        <v>21</v>
      </c>
      <c r="C30" s="4" t="s">
        <v>22</v>
      </c>
      <c r="D30" s="4" t="s">
        <v>23</v>
      </c>
      <c r="E30" s="4" t="s">
        <v>113</v>
      </c>
      <c r="F30" s="4" t="s">
        <v>25</v>
      </c>
      <c r="G30" s="4" t="s">
        <v>26</v>
      </c>
      <c r="H30" s="4" t="s">
        <v>27</v>
      </c>
      <c r="I30" s="4" t="s">
        <v>28</v>
      </c>
      <c r="J30" s="4" t="s">
        <v>29</v>
      </c>
      <c r="K30" s="4" t="s">
        <v>114</v>
      </c>
      <c r="L30" s="4" t="s">
        <v>115</v>
      </c>
      <c r="M30" s="4" t="s">
        <v>116</v>
      </c>
      <c r="N30" s="4" t="s">
        <v>33</v>
      </c>
      <c r="O30" s="4" t="s">
        <v>29</v>
      </c>
      <c r="P30" s="4" t="s">
        <v>34</v>
      </c>
      <c r="Q30" s="5">
        <v>6598.7</v>
      </c>
      <c r="R30" s="6"/>
      <c r="S30" s="7"/>
      <c r="T30" s="7">
        <v>19.8</v>
      </c>
    </row>
    <row r="31" spans="1:20" s="2" customFormat="1" ht="19.7" customHeight="1" x14ac:dyDescent="0.2">
      <c r="A31" s="3" t="s">
        <v>20</v>
      </c>
      <c r="B31" s="3" t="s">
        <v>21</v>
      </c>
      <c r="C31" s="4" t="s">
        <v>22</v>
      </c>
      <c r="D31" s="4" t="s">
        <v>23</v>
      </c>
      <c r="E31" s="4" t="s">
        <v>117</v>
      </c>
      <c r="F31" s="4" t="s">
        <v>25</v>
      </c>
      <c r="G31" s="4" t="s">
        <v>26</v>
      </c>
      <c r="H31" s="4" t="s">
        <v>27</v>
      </c>
      <c r="I31" s="4" t="s">
        <v>28</v>
      </c>
      <c r="J31" s="4" t="s">
        <v>29</v>
      </c>
      <c r="K31" s="4" t="s">
        <v>118</v>
      </c>
      <c r="L31" s="4" t="s">
        <v>119</v>
      </c>
      <c r="M31" s="4" t="s">
        <v>120</v>
      </c>
      <c r="N31" s="4" t="s">
        <v>33</v>
      </c>
      <c r="O31" s="4" t="s">
        <v>29</v>
      </c>
      <c r="P31" s="4" t="s">
        <v>34</v>
      </c>
      <c r="Q31" s="5">
        <v>18414.09</v>
      </c>
      <c r="R31" s="6"/>
      <c r="S31" s="7"/>
      <c r="T31" s="7">
        <v>55.24</v>
      </c>
    </row>
    <row r="32" spans="1:20" s="2" customFormat="1" ht="19.7" customHeight="1" x14ac:dyDescent="0.2">
      <c r="A32" s="3" t="s">
        <v>20</v>
      </c>
      <c r="B32" s="3" t="s">
        <v>21</v>
      </c>
      <c r="C32" s="4" t="s">
        <v>22</v>
      </c>
      <c r="D32" s="4" t="s">
        <v>23</v>
      </c>
      <c r="E32" s="4" t="s">
        <v>121</v>
      </c>
      <c r="F32" s="4" t="s">
        <v>25</v>
      </c>
      <c r="G32" s="4" t="s">
        <v>26</v>
      </c>
      <c r="H32" s="4" t="s">
        <v>27</v>
      </c>
      <c r="I32" s="4" t="s">
        <v>28</v>
      </c>
      <c r="J32" s="4" t="s">
        <v>29</v>
      </c>
      <c r="K32" s="4" t="s">
        <v>122</v>
      </c>
      <c r="L32" s="4" t="s">
        <v>123</v>
      </c>
      <c r="M32" s="4" t="s">
        <v>124</v>
      </c>
      <c r="N32" s="4" t="s">
        <v>33</v>
      </c>
      <c r="O32" s="4" t="s">
        <v>29</v>
      </c>
      <c r="P32" s="4" t="s">
        <v>34</v>
      </c>
      <c r="Q32" s="5">
        <v>72961.22</v>
      </c>
      <c r="R32" s="6"/>
      <c r="S32" s="7"/>
      <c r="T32" s="7">
        <v>218.88</v>
      </c>
    </row>
    <row r="33" spans="1:20" s="2" customFormat="1" ht="19.7" customHeight="1" x14ac:dyDescent="0.2">
      <c r="A33" s="3" t="s">
        <v>20</v>
      </c>
      <c r="B33" s="3" t="s">
        <v>21</v>
      </c>
      <c r="C33" s="4" t="s">
        <v>22</v>
      </c>
      <c r="D33" s="4" t="s">
        <v>23</v>
      </c>
      <c r="E33" s="4" t="s">
        <v>125</v>
      </c>
      <c r="F33" s="4" t="s">
        <v>25</v>
      </c>
      <c r="G33" s="4" t="s">
        <v>26</v>
      </c>
      <c r="H33" s="4" t="s">
        <v>27</v>
      </c>
      <c r="I33" s="4" t="s">
        <v>28</v>
      </c>
      <c r="J33" s="4" t="s">
        <v>29</v>
      </c>
      <c r="K33" s="4" t="s">
        <v>126</v>
      </c>
      <c r="L33" s="4" t="s">
        <v>127</v>
      </c>
      <c r="M33" s="4" t="s">
        <v>124</v>
      </c>
      <c r="N33" s="4" t="s">
        <v>33</v>
      </c>
      <c r="O33" s="4" t="s">
        <v>29</v>
      </c>
      <c r="P33" s="4" t="s">
        <v>34</v>
      </c>
      <c r="Q33" s="5">
        <v>14756.16</v>
      </c>
      <c r="R33" s="6"/>
      <c r="S33" s="7"/>
      <c r="T33" s="7">
        <v>44.27</v>
      </c>
    </row>
    <row r="34" spans="1:20" s="2" customFormat="1" ht="19.7" customHeight="1" x14ac:dyDescent="0.2">
      <c r="A34" s="3" t="s">
        <v>20</v>
      </c>
      <c r="B34" s="3" t="s">
        <v>21</v>
      </c>
      <c r="C34" s="4" t="s">
        <v>22</v>
      </c>
      <c r="D34" s="4" t="s">
        <v>23</v>
      </c>
      <c r="E34" s="4" t="s">
        <v>128</v>
      </c>
      <c r="F34" s="4" t="s">
        <v>25</v>
      </c>
      <c r="G34" s="4" t="s">
        <v>26</v>
      </c>
      <c r="H34" s="4" t="s">
        <v>27</v>
      </c>
      <c r="I34" s="4" t="s">
        <v>28</v>
      </c>
      <c r="J34" s="4" t="s">
        <v>29</v>
      </c>
      <c r="K34" s="4" t="s">
        <v>129</v>
      </c>
      <c r="L34" s="4" t="s">
        <v>130</v>
      </c>
      <c r="M34" s="4" t="s">
        <v>116</v>
      </c>
      <c r="N34" s="4" t="s">
        <v>33</v>
      </c>
      <c r="O34" s="4" t="s">
        <v>29</v>
      </c>
      <c r="P34" s="4" t="s">
        <v>34</v>
      </c>
      <c r="Q34" s="5">
        <v>10691.56</v>
      </c>
      <c r="R34" s="6"/>
      <c r="S34" s="7"/>
      <c r="T34" s="7">
        <v>32.07</v>
      </c>
    </row>
    <row r="35" spans="1:20" s="2" customFormat="1" ht="19.7" customHeight="1" x14ac:dyDescent="0.2">
      <c r="A35" s="3" t="s">
        <v>20</v>
      </c>
      <c r="B35" s="3" t="s">
        <v>21</v>
      </c>
      <c r="C35" s="4" t="s">
        <v>22</v>
      </c>
      <c r="D35" s="4" t="s">
        <v>23</v>
      </c>
      <c r="E35" s="4" t="s">
        <v>131</v>
      </c>
      <c r="F35" s="4" t="s">
        <v>25</v>
      </c>
      <c r="G35" s="4" t="s">
        <v>26</v>
      </c>
      <c r="H35" s="4" t="s">
        <v>27</v>
      </c>
      <c r="I35" s="4" t="s">
        <v>28</v>
      </c>
      <c r="J35" s="4" t="s">
        <v>29</v>
      </c>
      <c r="K35" s="4" t="s">
        <v>132</v>
      </c>
      <c r="L35" s="4" t="s">
        <v>133</v>
      </c>
      <c r="M35" s="4" t="s">
        <v>116</v>
      </c>
      <c r="N35" s="4" t="s">
        <v>33</v>
      </c>
      <c r="O35" s="4" t="s">
        <v>29</v>
      </c>
      <c r="P35" s="4" t="s">
        <v>34</v>
      </c>
      <c r="Q35" s="5">
        <v>41038.629999999997</v>
      </c>
      <c r="R35" s="6"/>
      <c r="S35" s="7"/>
      <c r="T35" s="7">
        <v>123.12</v>
      </c>
    </row>
    <row r="36" spans="1:20" s="2" customFormat="1" ht="19.7" customHeight="1" x14ac:dyDescent="0.2">
      <c r="A36" s="8"/>
      <c r="B36" s="8"/>
      <c r="C36" s="9"/>
      <c r="D36" s="9"/>
      <c r="E36" s="9"/>
      <c r="F36" s="9"/>
      <c r="G36" s="9"/>
      <c r="H36" s="9"/>
      <c r="I36" s="9"/>
      <c r="J36" s="10"/>
      <c r="K36" s="9"/>
      <c r="L36" s="9"/>
      <c r="M36" s="9"/>
      <c r="N36" s="9"/>
      <c r="O36" s="9"/>
      <c r="P36" s="9"/>
      <c r="Q36" s="11"/>
      <c r="R36" s="9"/>
      <c r="S36" s="12"/>
      <c r="T36" s="17">
        <f>SUM(T2:T35)</f>
        <v>284936.28000000003</v>
      </c>
    </row>
  </sheetData>
  <autoFilter ref="A1:T36" xr:uid="{ED0DCF31-53CD-4ABF-A9FE-356CB12187F2}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SPD Credit Memo Q4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Than</dc:creator>
  <cp:lastModifiedBy>Min Than</cp:lastModifiedBy>
  <dcterms:created xsi:type="dcterms:W3CDTF">2026-01-29T22:25:53Z</dcterms:created>
  <dcterms:modified xsi:type="dcterms:W3CDTF">2026-01-29T22:28:13Z</dcterms:modified>
</cp:coreProperties>
</file>