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I:\PURCHASING\PURCHASING OPERATIONS\PROCESS FLOWS\VENDORS\Molnlycke\Rebates\"/>
    </mc:Choice>
  </mc:AlternateContent>
  <xr:revisionPtr revIDLastSave="0" documentId="13_ncr:1_{929FDA32-7F35-486B-9273-B895DC9AB1D9}" xr6:coauthVersionLast="47" xr6:coauthVersionMax="47" xr10:uidLastSave="{00000000-0000-0000-0000-000000000000}"/>
  <bookViews>
    <workbookView xWindow="-108" yWindow="-108" windowWidth="23256" windowHeight="13896" activeTab="1" xr2:uid="{287D0C72-D6EC-4453-BF47-AFF5EF166107}"/>
  </bookViews>
  <sheets>
    <sheet name="Loyalty Rebate" sheetId="1" r:id="rId1"/>
    <sheet name="MHS Summary" sheetId="2" r:id="rId2"/>
  </sheets>
  <definedNames>
    <definedName name="_xlnm._FilterDatabase" localSheetId="0" hidden="1">'Loyalty Rebate'!$A$8:$G$140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3" i="2" l="1"/>
  <c r="B13" i="2"/>
  <c r="G10" i="1" l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9" i="1"/>
</calcChain>
</file>

<file path=xl/sharedStrings.xml><?xml version="1.0" encoding="utf-8"?>
<sst xmlns="http://schemas.openxmlformats.org/spreadsheetml/2006/main" count="413" uniqueCount="87">
  <si>
    <t>Ship to Cust. ID</t>
  </si>
  <si>
    <t>Ship to Cust. Name</t>
  </si>
  <si>
    <t>Product ID</t>
  </si>
  <si>
    <t>Product Description</t>
  </si>
  <si>
    <t>Quantity</t>
  </si>
  <si>
    <t>Revenue</t>
  </si>
  <si>
    <t>A82955</t>
  </si>
  <si>
    <t>MONTEFIORE MEDICAL CENTER</t>
  </si>
  <si>
    <t>Mepilex Brder Sacrum 6,3x8 in</t>
  </si>
  <si>
    <t>Mepilex Border Sacrum 9x9 in</t>
  </si>
  <si>
    <t>Mepilex Border Heel 8,6x9in</t>
  </si>
  <si>
    <t>Mepilex Lite 2.3x3.3 in</t>
  </si>
  <si>
    <t>Mepilex Lite 4x4 in</t>
  </si>
  <si>
    <t>Mesalt 4x4 in (2x2 in Folded)</t>
  </si>
  <si>
    <t>Mepilex AG 4x4 in</t>
  </si>
  <si>
    <t>MEPILEX HEEL</t>
  </si>
  <si>
    <t>Mepilex 4x4 in Self</t>
  </si>
  <si>
    <t>Mepilex Border Post-Op Ag 4x6 in</t>
  </si>
  <si>
    <t>Mepilex Border Post-Op Ag 4x8 in</t>
  </si>
  <si>
    <t>Mepilex Border Post-Op Ag 4x10in</t>
  </si>
  <si>
    <t>Mepilex Border Post-Op Ag 4x12in</t>
  </si>
  <si>
    <t>Mepilex Border Flex Lite 1,5x2 in</t>
  </si>
  <si>
    <t>Mepilex Border Flex Lite 2x5 in</t>
  </si>
  <si>
    <t>Mepilex Border Flex 2,95x2,95 in 5 pack</t>
  </si>
  <si>
    <t>Mepilex Border Flex 4x4in</t>
  </si>
  <si>
    <t>Mepilex Border Flex 6x6 in 5pack BRU</t>
  </si>
  <si>
    <t>Z-Flex Fluidized Heel Protector</t>
  </si>
  <si>
    <t>Neo Small Positioner with Cover 7x10</t>
  </si>
  <si>
    <t>Tortoise Standard Positioning System</t>
  </si>
  <si>
    <t>Ad Small Positioner 12x20</t>
  </si>
  <si>
    <t>Ad Medium Positioner Standard 16x30</t>
  </si>
  <si>
    <t>C41334</t>
  </si>
  <si>
    <t>MONTEFIORE NYACK HOSPITAL</t>
  </si>
  <si>
    <t>Tubigrip E Natural x11 yd</t>
  </si>
  <si>
    <t>Tubigrip F Natural x11 yd</t>
  </si>
  <si>
    <t>Tubigrip D Natural 1 yd x 12</t>
  </si>
  <si>
    <t>Tubigrip F Natural 1 yd x 12</t>
  </si>
  <si>
    <t>Tubigrip E Natural 1 yd x 12</t>
  </si>
  <si>
    <t>Melgisorb Ag 4x4 in</t>
  </si>
  <si>
    <t>Mepilex Border Flex Lite 3x3 in</t>
  </si>
  <si>
    <t>Mepilex Border Flex Lite 4x4in</t>
  </si>
  <si>
    <t>Mepilex Border  Flex 6x6 in</t>
  </si>
  <si>
    <t>C92158</t>
  </si>
  <si>
    <t>MONTEFIORE MOUNT VERNON HOSPITAL</t>
  </si>
  <si>
    <t>Mepilex Border Flex 5x6.2 in, Oval</t>
  </si>
  <si>
    <t>Mepilex Border Flex 6x7.4 in, Oval</t>
  </si>
  <si>
    <t>Mepilex Border Flex 6x8 in</t>
  </si>
  <si>
    <t>D02073</t>
  </si>
  <si>
    <t>Mepilex Border Post-Op Ag 4x14 in</t>
  </si>
  <si>
    <t>G00B18</t>
  </si>
  <si>
    <t>Montefiore New Rochelle Hospital</t>
  </si>
  <si>
    <t>G00B4V</t>
  </si>
  <si>
    <t>Tubigrip D Natural x 11 yd</t>
  </si>
  <si>
    <t>Tubigrip E Beige x 11 yd</t>
  </si>
  <si>
    <t>Melgisorb Plus 2x2 in</t>
  </si>
  <si>
    <t>Melgisorb Plus 4x4 in</t>
  </si>
  <si>
    <t>Mepitel 3x4 in</t>
  </si>
  <si>
    <t>Mextra Superabsorbent 9x11in</t>
  </si>
  <si>
    <t>G2AHZR</t>
  </si>
  <si>
    <t>Mepilex Up 4x4in, US AC</t>
  </si>
  <si>
    <t>Mepilex Border Post Op 4x6 in</t>
  </si>
  <si>
    <t>Mepilex Border Post Op 4x8in</t>
  </si>
  <si>
    <t>Mepilex Border Post Op 4x12in</t>
  </si>
  <si>
    <t>Ad Medium Positioner with Tab 16x30</t>
  </si>
  <si>
    <t>Ad Small Positioner with Cover 12x20</t>
  </si>
  <si>
    <t>MDS-1852373</t>
  </si>
  <si>
    <t>Mesalt 1x40 in</t>
  </si>
  <si>
    <t>MDS-1854060</t>
  </si>
  <si>
    <t>PREM_NY2020_1000048474</t>
  </si>
  <si>
    <t>PREM_NY2256_2000124332</t>
  </si>
  <si>
    <t>PREM_NY2256_2000183247</t>
  </si>
  <si>
    <t>PREM_NY2256_2000183248</t>
  </si>
  <si>
    <t>PREM_NY2371_1000049120</t>
  </si>
  <si>
    <t>Grand Total</t>
  </si>
  <si>
    <t>Loyalty Incentive (5%)</t>
  </si>
  <si>
    <t>2025 Montefiore Loyalty Incentive (5%)</t>
  </si>
  <si>
    <t>MMC</t>
  </si>
  <si>
    <t>Entity</t>
  </si>
  <si>
    <t>Annual Sales</t>
  </si>
  <si>
    <t>Rebate (5%)</t>
  </si>
  <si>
    <t>Mount Vernon</t>
  </si>
  <si>
    <t>New Rochelle</t>
  </si>
  <si>
    <t>Nyack</t>
  </si>
  <si>
    <t>ACH payment date: 2/13/26</t>
  </si>
  <si>
    <t>5% Rebate</t>
  </si>
  <si>
    <t>ACH # 281120-0001-01</t>
  </si>
  <si>
    <t>Montefiore Loyalty Rebate 9/1/24 - 8/31/25 Rebate Period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</si>
</sst>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theme="0" tint="-0.14999847407452621"/>
        <bgColor theme="0" tint="-0.14999847407452621"/>
      </patternFill>
    </fill>
  </fills>
  <borders count="5">
    <border>
      <left/>
      <right/>
      <top/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7">
    <xf numFmtId="0" fontId="0" fillId="0" borderId="0" xfId="0"/>
    <xf numFmtId="0" fontId="2" fillId="0" borderId="0" xfId="0" applyFont="1"/>
    <xf numFmtId="43" fontId="0" fillId="0" borderId="0" xfId="1" applyFont="1" applyFill="1"/>
    <xf numFmtId="0" fontId="3" fillId="2" borderId="1" xfId="0" applyFont="1" applyFill="1" applyBorder="1"/>
    <xf numFmtId="0" fontId="3" fillId="2" borderId="2" xfId="0" applyFont="1" applyFill="1" applyBorder="1"/>
    <xf numFmtId="43" fontId="3" fillId="2" borderId="2" xfId="1" applyFont="1" applyFill="1" applyBorder="1"/>
    <xf numFmtId="0" fontId="3" fillId="2" borderId="3" xfId="0" applyFont="1" applyFill="1" applyBorder="1"/>
    <xf numFmtId="0" fontId="0" fillId="3" borderId="1" xfId="0" applyFill="1" applyBorder="1"/>
    <xf numFmtId="0" fontId="0" fillId="3" borderId="2" xfId="0" applyFill="1" applyBorder="1"/>
    <xf numFmtId="43" fontId="0" fillId="3" borderId="2" xfId="1" applyFont="1" applyFill="1" applyBorder="1"/>
    <xf numFmtId="44" fontId="0" fillId="3" borderId="2" xfId="0" applyNumberFormat="1" applyFill="1" applyBorder="1"/>
    <xf numFmtId="44" fontId="0" fillId="3" borderId="3" xfId="0" applyNumberFormat="1" applyFill="1" applyBorder="1"/>
    <xf numFmtId="0" fontId="0" fillId="0" borderId="1" xfId="0" applyBorder="1"/>
    <xf numFmtId="0" fontId="0" fillId="0" borderId="2" xfId="0" applyBorder="1"/>
    <xf numFmtId="43" fontId="0" fillId="0" borderId="2" xfId="1" applyFont="1" applyBorder="1"/>
    <xf numFmtId="44" fontId="0" fillId="0" borderId="2" xfId="0" applyNumberFormat="1" applyBorder="1"/>
    <xf numFmtId="0" fontId="5" fillId="0" borderId="0" xfId="0" applyFont="1"/>
    <xf numFmtId="0" fontId="4" fillId="0" borderId="0" xfId="0" applyFont="1" applyAlignment="1">
      <alignment horizontal="center" wrapText="1"/>
    </xf>
    <xf numFmtId="8" fontId="5" fillId="0" borderId="0" xfId="0" applyNumberFormat="1" applyFont="1"/>
    <xf numFmtId="0" fontId="4" fillId="0" borderId="4" xfId="0" applyFont="1" applyBorder="1" applyAlignment="1">
      <alignment horizontal="center" wrapText="1"/>
    </xf>
    <xf numFmtId="8" fontId="4" fillId="0" borderId="4" xfId="0" applyNumberFormat="1" applyFont="1" applyBorder="1" applyAlignment="1">
      <alignment horizontal="center" wrapText="1"/>
    </xf>
    <xf numFmtId="0" fontId="5" fillId="0" borderId="4" xfId="0" applyFont="1" applyBorder="1"/>
    <xf numFmtId="8" fontId="5" fillId="0" borderId="4" xfId="0" applyNumberFormat="1" applyFont="1" applyBorder="1"/>
    <xf numFmtId="44" fontId="0" fillId="0" borderId="0" xfId="0" applyNumberFormat="1"/>
    <xf numFmtId="0" fontId="6" fillId="0" borderId="0" xfId="0" applyFont="1" applyBorder="1" applyAlignment="1">
      <alignment horizontal="left" wrapText="1"/>
    </xf>
    <xf numFmtId="0" fontId="6" fillId="0" borderId="0" xfId="0" applyFont="1" applyBorder="1" applyAlignment="1">
      <alignment horizontal="left"/>
    </xf>
    <xf numFmtId="0" fontId="5" fillId="0" borderId="0" xfId="0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1</xdr:col>
      <xdr:colOff>2098675</xdr:colOff>
      <xdr:row>6</xdr:row>
      <xdr:rowOff>29071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65D736B-15E6-454D-8967-8F2FACBD2F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81000"/>
          <a:ext cx="3756025" cy="79107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5B7E15-4EBE-4D24-80A0-E3FAD6507BED}">
  <dimension ref="A1:G145"/>
  <sheetViews>
    <sheetView workbookViewId="0">
      <selection activeCell="F147" sqref="F147:F148"/>
    </sheetView>
  </sheetViews>
  <sheetFormatPr defaultRowHeight="14.4" x14ac:dyDescent="0.3"/>
  <cols>
    <col min="1" max="1" width="24.77734375" bestFit="1" customWidth="1"/>
    <col min="2" max="2" width="38.21875" bestFit="1" customWidth="1"/>
    <col min="3" max="3" width="12.44140625" bestFit="1" customWidth="1"/>
    <col min="4" max="4" width="36.21875" bestFit="1" customWidth="1"/>
    <col min="5" max="5" width="11.5546875" style="2" bestFit="1" customWidth="1"/>
    <col min="6" max="6" width="14.21875" bestFit="1" customWidth="1"/>
    <col min="7" max="7" width="23" bestFit="1" customWidth="1"/>
  </cols>
  <sheetData>
    <row r="1" spans="1:7" x14ac:dyDescent="0.3">
      <c r="A1" s="1" t="s">
        <v>75</v>
      </c>
    </row>
    <row r="8" spans="1:7" x14ac:dyDescent="0.3">
      <c r="A8" s="3" t="s">
        <v>0</v>
      </c>
      <c r="B8" s="4" t="s">
        <v>1</v>
      </c>
      <c r="C8" s="4" t="s">
        <v>2</v>
      </c>
      <c r="D8" s="4" t="s">
        <v>3</v>
      </c>
      <c r="E8" s="5" t="s">
        <v>4</v>
      </c>
      <c r="F8" s="4" t="s">
        <v>5</v>
      </c>
      <c r="G8" s="6" t="s">
        <v>74</v>
      </c>
    </row>
    <row r="9" spans="1:7" x14ac:dyDescent="0.3">
      <c r="A9" s="7" t="s">
        <v>6</v>
      </c>
      <c r="B9" s="8" t="s">
        <v>7</v>
      </c>
      <c r="C9" s="8">
        <v>282055</v>
      </c>
      <c r="D9" s="8" t="s">
        <v>8</v>
      </c>
      <c r="E9" s="9">
        <v>18000</v>
      </c>
      <c r="F9" s="10">
        <v>104896.8</v>
      </c>
      <c r="G9" s="11">
        <f>F9*0.05</f>
        <v>5244.84</v>
      </c>
    </row>
    <row r="10" spans="1:7" x14ac:dyDescent="0.3">
      <c r="A10" s="12" t="s">
        <v>6</v>
      </c>
      <c r="B10" s="13" t="s">
        <v>7</v>
      </c>
      <c r="C10" s="13">
        <v>282455</v>
      </c>
      <c r="D10" s="13" t="s">
        <v>9</v>
      </c>
      <c r="E10" s="14">
        <v>24320</v>
      </c>
      <c r="F10" s="15">
        <v>222594.88000000009</v>
      </c>
      <c r="G10" s="11">
        <f t="shared" ref="G10:G73" si="0">F10*0.05</f>
        <v>11129.744000000006</v>
      </c>
    </row>
    <row r="11" spans="1:7" x14ac:dyDescent="0.3">
      <c r="A11" s="7" t="s">
        <v>6</v>
      </c>
      <c r="B11" s="8" t="s">
        <v>7</v>
      </c>
      <c r="C11" s="8">
        <v>282790</v>
      </c>
      <c r="D11" s="8" t="s">
        <v>10</v>
      </c>
      <c r="E11" s="9">
        <v>27330</v>
      </c>
      <c r="F11" s="10">
        <v>263342.77000000008</v>
      </c>
      <c r="G11" s="11">
        <f t="shared" si="0"/>
        <v>13167.138500000005</v>
      </c>
    </row>
    <row r="12" spans="1:7" x14ac:dyDescent="0.3">
      <c r="A12" s="12" t="s">
        <v>6</v>
      </c>
      <c r="B12" s="13" t="s">
        <v>7</v>
      </c>
      <c r="C12" s="13">
        <v>284090</v>
      </c>
      <c r="D12" s="13" t="s">
        <v>11</v>
      </c>
      <c r="E12" s="14">
        <v>210</v>
      </c>
      <c r="F12" s="15">
        <v>408.03</v>
      </c>
      <c r="G12" s="11">
        <f t="shared" si="0"/>
        <v>20.401499999999999</v>
      </c>
    </row>
    <row r="13" spans="1:7" x14ac:dyDescent="0.3">
      <c r="A13" s="7" t="s">
        <v>6</v>
      </c>
      <c r="B13" s="8" t="s">
        <v>7</v>
      </c>
      <c r="C13" s="8">
        <v>284190</v>
      </c>
      <c r="D13" s="8" t="s">
        <v>12</v>
      </c>
      <c r="E13" s="9">
        <v>600</v>
      </c>
      <c r="F13" s="10">
        <v>1306.56</v>
      </c>
      <c r="G13" s="11">
        <f t="shared" si="0"/>
        <v>65.328000000000003</v>
      </c>
    </row>
    <row r="14" spans="1:7" x14ac:dyDescent="0.3">
      <c r="A14" s="12" t="s">
        <v>6</v>
      </c>
      <c r="B14" s="13" t="s">
        <v>7</v>
      </c>
      <c r="C14" s="13">
        <v>285580</v>
      </c>
      <c r="D14" s="13" t="s">
        <v>13</v>
      </c>
      <c r="E14" s="14">
        <v>1680</v>
      </c>
      <c r="F14" s="15">
        <v>1157.17</v>
      </c>
      <c r="G14" s="11">
        <f t="shared" si="0"/>
        <v>57.858500000000006</v>
      </c>
    </row>
    <row r="15" spans="1:7" x14ac:dyDescent="0.3">
      <c r="A15" s="7" t="s">
        <v>6</v>
      </c>
      <c r="B15" s="8" t="s">
        <v>7</v>
      </c>
      <c r="C15" s="8">
        <v>287100</v>
      </c>
      <c r="D15" s="8" t="s">
        <v>14</v>
      </c>
      <c r="E15" s="9">
        <v>10</v>
      </c>
      <c r="F15" s="10">
        <v>67.710000000000008</v>
      </c>
      <c r="G15" s="11">
        <f t="shared" si="0"/>
        <v>3.3855000000000004</v>
      </c>
    </row>
    <row r="16" spans="1:7" x14ac:dyDescent="0.3">
      <c r="A16" s="7" t="s">
        <v>6</v>
      </c>
      <c r="B16" s="8" t="s">
        <v>7</v>
      </c>
      <c r="C16" s="8">
        <v>288100</v>
      </c>
      <c r="D16" s="8" t="s">
        <v>15</v>
      </c>
      <c r="E16" s="9">
        <v>25</v>
      </c>
      <c r="F16" s="10">
        <v>180</v>
      </c>
      <c r="G16" s="11">
        <f t="shared" si="0"/>
        <v>9</v>
      </c>
    </row>
    <row r="17" spans="1:7" x14ac:dyDescent="0.3">
      <c r="A17" s="12" t="s">
        <v>6</v>
      </c>
      <c r="B17" s="13" t="s">
        <v>7</v>
      </c>
      <c r="C17" s="13">
        <v>294199</v>
      </c>
      <c r="D17" s="13" t="s">
        <v>16</v>
      </c>
      <c r="E17" s="14">
        <v>110</v>
      </c>
      <c r="F17" s="15">
        <v>305.86</v>
      </c>
      <c r="G17" s="11">
        <f t="shared" si="0"/>
        <v>15.293000000000001</v>
      </c>
    </row>
    <row r="18" spans="1:7" x14ac:dyDescent="0.3">
      <c r="A18" s="7" t="s">
        <v>6</v>
      </c>
      <c r="B18" s="8" t="s">
        <v>7</v>
      </c>
      <c r="C18" s="8">
        <v>498300</v>
      </c>
      <c r="D18" s="8" t="s">
        <v>17</v>
      </c>
      <c r="E18" s="9">
        <v>70</v>
      </c>
      <c r="F18" s="10">
        <v>1460.76</v>
      </c>
      <c r="G18" s="11">
        <f t="shared" si="0"/>
        <v>73.037999999999997</v>
      </c>
    </row>
    <row r="19" spans="1:7" x14ac:dyDescent="0.3">
      <c r="A19" s="12" t="s">
        <v>6</v>
      </c>
      <c r="B19" s="13" t="s">
        <v>7</v>
      </c>
      <c r="C19" s="13">
        <v>498400</v>
      </c>
      <c r="D19" s="13" t="s">
        <v>18</v>
      </c>
      <c r="E19" s="14">
        <v>75</v>
      </c>
      <c r="F19" s="15">
        <v>1803.75</v>
      </c>
      <c r="G19" s="11">
        <f t="shared" si="0"/>
        <v>90.1875</v>
      </c>
    </row>
    <row r="20" spans="1:7" x14ac:dyDescent="0.3">
      <c r="A20" s="7" t="s">
        <v>6</v>
      </c>
      <c r="B20" s="8" t="s">
        <v>7</v>
      </c>
      <c r="C20" s="8">
        <v>498450</v>
      </c>
      <c r="D20" s="8" t="s">
        <v>19</v>
      </c>
      <c r="E20" s="9">
        <v>280</v>
      </c>
      <c r="F20" s="10">
        <v>7252</v>
      </c>
      <c r="G20" s="11">
        <f t="shared" si="0"/>
        <v>362.6</v>
      </c>
    </row>
    <row r="21" spans="1:7" x14ac:dyDescent="0.3">
      <c r="A21" s="12" t="s">
        <v>6</v>
      </c>
      <c r="B21" s="13" t="s">
        <v>7</v>
      </c>
      <c r="C21" s="13">
        <v>498600</v>
      </c>
      <c r="D21" s="13" t="s">
        <v>20</v>
      </c>
      <c r="E21" s="14">
        <v>250</v>
      </c>
      <c r="F21" s="15">
        <v>7400</v>
      </c>
      <c r="G21" s="11">
        <f t="shared" si="0"/>
        <v>370</v>
      </c>
    </row>
    <row r="22" spans="1:7" x14ac:dyDescent="0.3">
      <c r="A22" s="7" t="s">
        <v>6</v>
      </c>
      <c r="B22" s="8" t="s">
        <v>7</v>
      </c>
      <c r="C22" s="8">
        <v>581011</v>
      </c>
      <c r="D22" s="8" t="s">
        <v>21</v>
      </c>
      <c r="E22" s="9">
        <v>350</v>
      </c>
      <c r="F22" s="10">
        <v>490</v>
      </c>
      <c r="G22" s="11">
        <f t="shared" si="0"/>
        <v>24.5</v>
      </c>
    </row>
    <row r="23" spans="1:7" x14ac:dyDescent="0.3">
      <c r="A23" s="7" t="s">
        <v>6</v>
      </c>
      <c r="B23" s="8" t="s">
        <v>7</v>
      </c>
      <c r="C23" s="8">
        <v>581100</v>
      </c>
      <c r="D23" s="8" t="s">
        <v>22</v>
      </c>
      <c r="E23" s="9">
        <v>260</v>
      </c>
      <c r="F23" s="10">
        <v>439.4</v>
      </c>
      <c r="G23" s="11">
        <f t="shared" si="0"/>
        <v>21.97</v>
      </c>
    </row>
    <row r="24" spans="1:7" x14ac:dyDescent="0.3">
      <c r="A24" s="12" t="s">
        <v>6</v>
      </c>
      <c r="B24" s="13" t="s">
        <v>7</v>
      </c>
      <c r="C24" s="13">
        <v>595200</v>
      </c>
      <c r="D24" s="13" t="s">
        <v>23</v>
      </c>
      <c r="E24" s="14">
        <v>50</v>
      </c>
      <c r="F24" s="15">
        <v>159.5</v>
      </c>
      <c r="G24" s="11">
        <f t="shared" si="0"/>
        <v>7.9750000000000005</v>
      </c>
    </row>
    <row r="25" spans="1:7" x14ac:dyDescent="0.3">
      <c r="A25" s="7" t="s">
        <v>6</v>
      </c>
      <c r="B25" s="8" t="s">
        <v>7</v>
      </c>
      <c r="C25" s="8">
        <v>595300</v>
      </c>
      <c r="D25" s="8" t="s">
        <v>24</v>
      </c>
      <c r="E25" s="9">
        <v>55</v>
      </c>
      <c r="F25" s="10">
        <v>143.54999999999998</v>
      </c>
      <c r="G25" s="11">
        <f t="shared" si="0"/>
        <v>7.1774999999999993</v>
      </c>
    </row>
    <row r="26" spans="1:7" x14ac:dyDescent="0.3">
      <c r="A26" s="12" t="s">
        <v>6</v>
      </c>
      <c r="B26" s="13" t="s">
        <v>7</v>
      </c>
      <c r="C26" s="13">
        <v>595400</v>
      </c>
      <c r="D26" s="13" t="s">
        <v>25</v>
      </c>
      <c r="E26" s="14">
        <v>200</v>
      </c>
      <c r="F26" s="15">
        <v>884</v>
      </c>
      <c r="G26" s="11">
        <f t="shared" si="0"/>
        <v>44.2</v>
      </c>
    </row>
    <row r="27" spans="1:7" x14ac:dyDescent="0.3">
      <c r="A27" s="7" t="s">
        <v>6</v>
      </c>
      <c r="B27" s="8" t="s">
        <v>7</v>
      </c>
      <c r="C27" s="8">
        <v>1400123</v>
      </c>
      <c r="D27" s="8" t="s">
        <v>26</v>
      </c>
      <c r="E27" s="9">
        <v>2120</v>
      </c>
      <c r="F27" s="10">
        <v>80560</v>
      </c>
      <c r="G27" s="11">
        <f t="shared" si="0"/>
        <v>4028</v>
      </c>
    </row>
    <row r="28" spans="1:7" x14ac:dyDescent="0.3">
      <c r="A28" s="12" t="s">
        <v>6</v>
      </c>
      <c r="B28" s="13" t="s">
        <v>7</v>
      </c>
      <c r="C28" s="13">
        <v>1400227</v>
      </c>
      <c r="D28" s="13" t="s">
        <v>27</v>
      </c>
      <c r="E28" s="14">
        <v>72</v>
      </c>
      <c r="F28" s="15">
        <v>961.32000000000016</v>
      </c>
      <c r="G28" s="11">
        <f t="shared" si="0"/>
        <v>48.06600000000001</v>
      </c>
    </row>
    <row r="29" spans="1:7" x14ac:dyDescent="0.3">
      <c r="A29" s="7" t="s">
        <v>6</v>
      </c>
      <c r="B29" s="8" t="s">
        <v>7</v>
      </c>
      <c r="C29" s="8">
        <v>1400800</v>
      </c>
      <c r="D29" s="8" t="s">
        <v>28</v>
      </c>
      <c r="E29" s="9">
        <v>2859</v>
      </c>
      <c r="F29" s="10">
        <v>400260</v>
      </c>
      <c r="G29" s="11">
        <f t="shared" si="0"/>
        <v>20013</v>
      </c>
    </row>
    <row r="30" spans="1:7" x14ac:dyDescent="0.3">
      <c r="A30" s="7" t="s">
        <v>6</v>
      </c>
      <c r="B30" s="8" t="s">
        <v>7</v>
      </c>
      <c r="C30" s="8">
        <v>1401007</v>
      </c>
      <c r="D30" s="8" t="s">
        <v>29</v>
      </c>
      <c r="E30" s="9">
        <v>808</v>
      </c>
      <c r="F30" s="10">
        <v>29079.919999999998</v>
      </c>
      <c r="G30" s="11">
        <f t="shared" si="0"/>
        <v>1453.9960000000001</v>
      </c>
    </row>
    <row r="31" spans="1:7" x14ac:dyDescent="0.3">
      <c r="A31" s="12" t="s">
        <v>6</v>
      </c>
      <c r="B31" s="13" t="s">
        <v>7</v>
      </c>
      <c r="C31" s="13">
        <v>1401011</v>
      </c>
      <c r="D31" s="13" t="s">
        <v>30</v>
      </c>
      <c r="E31" s="14">
        <v>2</v>
      </c>
      <c r="F31" s="15">
        <v>286.16000000000003</v>
      </c>
      <c r="G31" s="11">
        <f t="shared" si="0"/>
        <v>14.308000000000002</v>
      </c>
    </row>
    <row r="32" spans="1:7" x14ac:dyDescent="0.3">
      <c r="A32" s="7" t="s">
        <v>31</v>
      </c>
      <c r="B32" s="8" t="s">
        <v>32</v>
      </c>
      <c r="C32" s="8">
        <v>1434</v>
      </c>
      <c r="D32" s="8" t="s">
        <v>33</v>
      </c>
      <c r="E32" s="9">
        <v>3</v>
      </c>
      <c r="F32" s="10">
        <v>125.25</v>
      </c>
      <c r="G32" s="11">
        <f t="shared" si="0"/>
        <v>6.2625000000000002</v>
      </c>
    </row>
    <row r="33" spans="1:7" x14ac:dyDescent="0.3">
      <c r="A33" s="12" t="s">
        <v>31</v>
      </c>
      <c r="B33" s="13" t="s">
        <v>32</v>
      </c>
      <c r="C33" s="13">
        <v>1438</v>
      </c>
      <c r="D33" s="13" t="s">
        <v>34</v>
      </c>
      <c r="E33" s="14">
        <v>2</v>
      </c>
      <c r="F33" s="15">
        <v>91</v>
      </c>
      <c r="G33" s="11">
        <f t="shared" si="0"/>
        <v>4.55</v>
      </c>
    </row>
    <row r="34" spans="1:7" x14ac:dyDescent="0.3">
      <c r="A34" s="7" t="s">
        <v>31</v>
      </c>
      <c r="B34" s="8" t="s">
        <v>32</v>
      </c>
      <c r="C34" s="8">
        <v>1522</v>
      </c>
      <c r="D34" s="8" t="s">
        <v>35</v>
      </c>
      <c r="E34" s="9">
        <v>5</v>
      </c>
      <c r="F34" s="10">
        <v>18</v>
      </c>
      <c r="G34" s="11">
        <f t="shared" si="0"/>
        <v>0.9</v>
      </c>
    </row>
    <row r="35" spans="1:7" x14ac:dyDescent="0.3">
      <c r="A35" s="12" t="s">
        <v>31</v>
      </c>
      <c r="B35" s="13" t="s">
        <v>32</v>
      </c>
      <c r="C35" s="13">
        <v>1523</v>
      </c>
      <c r="D35" s="13" t="s">
        <v>36</v>
      </c>
      <c r="E35" s="14">
        <v>3</v>
      </c>
      <c r="F35" s="15">
        <v>13.049999999999999</v>
      </c>
      <c r="G35" s="11">
        <f t="shared" si="0"/>
        <v>0.65249999999999997</v>
      </c>
    </row>
    <row r="36" spans="1:7" x14ac:dyDescent="0.3">
      <c r="A36" s="7" t="s">
        <v>31</v>
      </c>
      <c r="B36" s="8" t="s">
        <v>32</v>
      </c>
      <c r="C36" s="8">
        <v>1528</v>
      </c>
      <c r="D36" s="8" t="s">
        <v>37</v>
      </c>
      <c r="E36" s="9">
        <v>24</v>
      </c>
      <c r="F36" s="10">
        <v>96.720000000000013</v>
      </c>
      <c r="G36" s="11">
        <f t="shared" si="0"/>
        <v>4.8360000000000012</v>
      </c>
    </row>
    <row r="37" spans="1:7" x14ac:dyDescent="0.3">
      <c r="A37" s="7" t="s">
        <v>31</v>
      </c>
      <c r="B37" s="8" t="s">
        <v>32</v>
      </c>
      <c r="C37" s="8">
        <v>255100</v>
      </c>
      <c r="D37" s="8" t="s">
        <v>38</v>
      </c>
      <c r="E37" s="9">
        <v>4</v>
      </c>
      <c r="F37" s="10">
        <v>28</v>
      </c>
      <c r="G37" s="11">
        <f t="shared" si="0"/>
        <v>1.4000000000000001</v>
      </c>
    </row>
    <row r="38" spans="1:7" x14ac:dyDescent="0.3">
      <c r="A38" s="12" t="s">
        <v>31</v>
      </c>
      <c r="B38" s="13" t="s">
        <v>32</v>
      </c>
      <c r="C38" s="13">
        <v>581200</v>
      </c>
      <c r="D38" s="13" t="s">
        <v>39</v>
      </c>
      <c r="E38" s="14">
        <v>10</v>
      </c>
      <c r="F38" s="15">
        <v>26.099999999999998</v>
      </c>
      <c r="G38" s="11">
        <f t="shared" si="0"/>
        <v>1.3049999999999999</v>
      </c>
    </row>
    <row r="39" spans="1:7" x14ac:dyDescent="0.3">
      <c r="A39" s="7" t="s">
        <v>31</v>
      </c>
      <c r="B39" s="8" t="s">
        <v>32</v>
      </c>
      <c r="C39" s="8">
        <v>581300</v>
      </c>
      <c r="D39" s="8" t="s">
        <v>40</v>
      </c>
      <c r="E39" s="9">
        <v>21</v>
      </c>
      <c r="F39" s="10">
        <v>74.759999999999991</v>
      </c>
      <c r="G39" s="11">
        <f t="shared" si="0"/>
        <v>3.7379999999999995</v>
      </c>
    </row>
    <row r="40" spans="1:7" x14ac:dyDescent="0.3">
      <c r="A40" s="12" t="s">
        <v>31</v>
      </c>
      <c r="B40" s="13" t="s">
        <v>32</v>
      </c>
      <c r="C40" s="13">
        <v>595200</v>
      </c>
      <c r="D40" s="13" t="s">
        <v>23</v>
      </c>
      <c r="E40" s="14">
        <v>40</v>
      </c>
      <c r="F40" s="15">
        <v>127.6</v>
      </c>
      <c r="G40" s="11">
        <f t="shared" si="0"/>
        <v>6.38</v>
      </c>
    </row>
    <row r="41" spans="1:7" x14ac:dyDescent="0.3">
      <c r="A41" s="7" t="s">
        <v>31</v>
      </c>
      <c r="B41" s="8" t="s">
        <v>32</v>
      </c>
      <c r="C41" s="8">
        <v>595300</v>
      </c>
      <c r="D41" s="8" t="s">
        <v>24</v>
      </c>
      <c r="E41" s="9">
        <v>162</v>
      </c>
      <c r="F41" s="10">
        <v>704.7</v>
      </c>
      <c r="G41" s="11">
        <f t="shared" si="0"/>
        <v>35.235000000000007</v>
      </c>
    </row>
    <row r="42" spans="1:7" x14ac:dyDescent="0.3">
      <c r="A42" s="12" t="s">
        <v>31</v>
      </c>
      <c r="B42" s="13" t="s">
        <v>32</v>
      </c>
      <c r="C42" s="13">
        <v>595400</v>
      </c>
      <c r="D42" s="13" t="s">
        <v>41</v>
      </c>
      <c r="E42" s="14">
        <v>17</v>
      </c>
      <c r="F42" s="15">
        <v>125.28999999999999</v>
      </c>
      <c r="G42" s="11">
        <f t="shared" si="0"/>
        <v>6.2645</v>
      </c>
    </row>
    <row r="43" spans="1:7" x14ac:dyDescent="0.3">
      <c r="A43" s="7" t="s">
        <v>31</v>
      </c>
      <c r="B43" s="8" t="s">
        <v>32</v>
      </c>
      <c r="C43" s="8"/>
      <c r="D43" s="8" t="s">
        <v>25</v>
      </c>
      <c r="E43" s="9">
        <v>37</v>
      </c>
      <c r="F43" s="10">
        <v>272.69</v>
      </c>
      <c r="G43" s="11">
        <f t="shared" si="0"/>
        <v>13.634500000000001</v>
      </c>
    </row>
    <row r="44" spans="1:7" x14ac:dyDescent="0.3">
      <c r="A44" s="7" t="s">
        <v>42</v>
      </c>
      <c r="B44" s="8" t="s">
        <v>43</v>
      </c>
      <c r="C44" s="8">
        <v>282455</v>
      </c>
      <c r="D44" s="8" t="s">
        <v>9</v>
      </c>
      <c r="E44" s="9">
        <v>1120</v>
      </c>
      <c r="F44" s="10">
        <v>10251.080000000005</v>
      </c>
      <c r="G44" s="11">
        <f t="shared" si="0"/>
        <v>512.55400000000031</v>
      </c>
    </row>
    <row r="45" spans="1:7" x14ac:dyDescent="0.3">
      <c r="A45" s="12" t="s">
        <v>42</v>
      </c>
      <c r="B45" s="13" t="s">
        <v>43</v>
      </c>
      <c r="C45" s="13">
        <v>282790</v>
      </c>
      <c r="D45" s="13" t="s">
        <v>10</v>
      </c>
      <c r="E45" s="14">
        <v>1010</v>
      </c>
      <c r="F45" s="15">
        <v>9732.02</v>
      </c>
      <c r="G45" s="11">
        <f t="shared" si="0"/>
        <v>486.60100000000006</v>
      </c>
    </row>
    <row r="46" spans="1:7" x14ac:dyDescent="0.3">
      <c r="A46" s="7" t="s">
        <v>42</v>
      </c>
      <c r="B46" s="8" t="s">
        <v>43</v>
      </c>
      <c r="C46" s="8">
        <v>583300</v>
      </c>
      <c r="D46" s="8" t="s">
        <v>44</v>
      </c>
      <c r="E46" s="9">
        <v>630</v>
      </c>
      <c r="F46" s="10">
        <v>2985.4800000000005</v>
      </c>
      <c r="G46" s="11">
        <f t="shared" si="0"/>
        <v>149.27400000000003</v>
      </c>
    </row>
    <row r="47" spans="1:7" x14ac:dyDescent="0.3">
      <c r="A47" s="12" t="s">
        <v>42</v>
      </c>
      <c r="B47" s="13" t="s">
        <v>43</v>
      </c>
      <c r="C47" s="13">
        <v>583400</v>
      </c>
      <c r="D47" s="13" t="s">
        <v>45</v>
      </c>
      <c r="E47" s="14">
        <v>45</v>
      </c>
      <c r="F47" s="15">
        <v>261.56000000000006</v>
      </c>
      <c r="G47" s="11">
        <f t="shared" si="0"/>
        <v>13.078000000000003</v>
      </c>
    </row>
    <row r="48" spans="1:7" x14ac:dyDescent="0.3">
      <c r="A48" s="7" t="s">
        <v>42</v>
      </c>
      <c r="B48" s="8" t="s">
        <v>43</v>
      </c>
      <c r="C48" s="8">
        <v>595200</v>
      </c>
      <c r="D48" s="8" t="s">
        <v>23</v>
      </c>
      <c r="E48" s="9">
        <v>100</v>
      </c>
      <c r="F48" s="10">
        <v>255</v>
      </c>
      <c r="G48" s="11">
        <f t="shared" si="0"/>
        <v>12.75</v>
      </c>
    </row>
    <row r="49" spans="1:7" x14ac:dyDescent="0.3">
      <c r="A49" s="12" t="s">
        <v>42</v>
      </c>
      <c r="B49" s="13" t="s">
        <v>43</v>
      </c>
      <c r="C49" s="13">
        <v>595300</v>
      </c>
      <c r="D49" s="13" t="s">
        <v>24</v>
      </c>
      <c r="E49" s="14">
        <v>250</v>
      </c>
      <c r="F49" s="15">
        <v>652.49999999999989</v>
      </c>
      <c r="G49" s="11">
        <f t="shared" si="0"/>
        <v>32.624999999999993</v>
      </c>
    </row>
    <row r="50" spans="1:7" x14ac:dyDescent="0.3">
      <c r="A50" s="7" t="s">
        <v>42</v>
      </c>
      <c r="B50" s="8" t="s">
        <v>43</v>
      </c>
      <c r="C50" s="8">
        <v>595400</v>
      </c>
      <c r="D50" s="8" t="s">
        <v>41</v>
      </c>
      <c r="E50" s="9">
        <v>200</v>
      </c>
      <c r="F50" s="10">
        <v>884</v>
      </c>
      <c r="G50" s="11">
        <f t="shared" si="0"/>
        <v>44.2</v>
      </c>
    </row>
    <row r="51" spans="1:7" x14ac:dyDescent="0.3">
      <c r="A51" s="7" t="s">
        <v>42</v>
      </c>
      <c r="B51" s="8" t="s">
        <v>43</v>
      </c>
      <c r="C51" s="8"/>
      <c r="D51" s="8" t="s">
        <v>25</v>
      </c>
      <c r="E51" s="9">
        <v>400</v>
      </c>
      <c r="F51" s="10">
        <v>1768</v>
      </c>
      <c r="G51" s="11">
        <f t="shared" si="0"/>
        <v>88.4</v>
      </c>
    </row>
    <row r="52" spans="1:7" x14ac:dyDescent="0.3">
      <c r="A52" s="12" t="s">
        <v>42</v>
      </c>
      <c r="B52" s="13" t="s">
        <v>43</v>
      </c>
      <c r="C52" s="13">
        <v>595600</v>
      </c>
      <c r="D52" s="13" t="s">
        <v>46</v>
      </c>
      <c r="E52" s="14">
        <v>50</v>
      </c>
      <c r="F52" s="15">
        <v>454</v>
      </c>
      <c r="G52" s="11">
        <f t="shared" si="0"/>
        <v>22.700000000000003</v>
      </c>
    </row>
    <row r="53" spans="1:7" x14ac:dyDescent="0.3">
      <c r="A53" s="7" t="s">
        <v>42</v>
      </c>
      <c r="B53" s="8" t="s">
        <v>43</v>
      </c>
      <c r="C53" s="8">
        <v>1400123</v>
      </c>
      <c r="D53" s="8" t="s">
        <v>26</v>
      </c>
      <c r="E53" s="9">
        <v>16</v>
      </c>
      <c r="F53" s="10">
        <v>608</v>
      </c>
      <c r="G53" s="11">
        <f t="shared" si="0"/>
        <v>30.400000000000002</v>
      </c>
    </row>
    <row r="54" spans="1:7" x14ac:dyDescent="0.3">
      <c r="A54" s="12" t="s">
        <v>42</v>
      </c>
      <c r="B54" s="13" t="s">
        <v>43</v>
      </c>
      <c r="C54" s="13">
        <v>1400800</v>
      </c>
      <c r="D54" s="13" t="s">
        <v>28</v>
      </c>
      <c r="E54" s="14">
        <v>270</v>
      </c>
      <c r="F54" s="15">
        <v>37800</v>
      </c>
      <c r="G54" s="11">
        <f t="shared" si="0"/>
        <v>1890</v>
      </c>
    </row>
    <row r="55" spans="1:7" x14ac:dyDescent="0.3">
      <c r="A55" s="7" t="s">
        <v>47</v>
      </c>
      <c r="B55" s="8" t="s">
        <v>7</v>
      </c>
      <c r="C55" s="8">
        <v>282055</v>
      </c>
      <c r="D55" s="8" t="s">
        <v>8</v>
      </c>
      <c r="E55" s="9">
        <v>26550</v>
      </c>
      <c r="F55" s="10">
        <v>154722.77999999997</v>
      </c>
      <c r="G55" s="11">
        <f t="shared" si="0"/>
        <v>7736.1389999999992</v>
      </c>
    </row>
    <row r="56" spans="1:7" x14ac:dyDescent="0.3">
      <c r="A56" s="12" t="s">
        <v>47</v>
      </c>
      <c r="B56" s="13" t="s">
        <v>7</v>
      </c>
      <c r="C56" s="13">
        <v>282455</v>
      </c>
      <c r="D56" s="13" t="s">
        <v>9</v>
      </c>
      <c r="E56" s="14">
        <v>26600</v>
      </c>
      <c r="F56" s="15">
        <v>243463.14999999997</v>
      </c>
      <c r="G56" s="11">
        <f t="shared" si="0"/>
        <v>12173.157499999999</v>
      </c>
    </row>
    <row r="57" spans="1:7" x14ac:dyDescent="0.3">
      <c r="A57" s="7" t="s">
        <v>47</v>
      </c>
      <c r="B57" s="8" t="s">
        <v>7</v>
      </c>
      <c r="C57" s="8">
        <v>282790</v>
      </c>
      <c r="D57" s="8" t="s">
        <v>10</v>
      </c>
      <c r="E57" s="9">
        <v>18030</v>
      </c>
      <c r="F57" s="10">
        <v>173731.07000000004</v>
      </c>
      <c r="G57" s="11">
        <f t="shared" si="0"/>
        <v>8686.5535000000018</v>
      </c>
    </row>
    <row r="58" spans="1:7" x14ac:dyDescent="0.3">
      <c r="A58" s="7" t="s">
        <v>47</v>
      </c>
      <c r="B58" s="8" t="s">
        <v>7</v>
      </c>
      <c r="C58" s="8">
        <v>284190</v>
      </c>
      <c r="D58" s="8" t="s">
        <v>12</v>
      </c>
      <c r="E58" s="9">
        <v>755</v>
      </c>
      <c r="F58" s="10">
        <v>1644.0900000000001</v>
      </c>
      <c r="G58" s="11">
        <f t="shared" si="0"/>
        <v>82.20450000000001</v>
      </c>
    </row>
    <row r="59" spans="1:7" x14ac:dyDescent="0.3">
      <c r="A59" s="12" t="s">
        <v>47</v>
      </c>
      <c r="B59" s="13" t="s">
        <v>7</v>
      </c>
      <c r="C59" s="13">
        <v>285580</v>
      </c>
      <c r="D59" s="13" t="s">
        <v>13</v>
      </c>
      <c r="E59" s="14">
        <v>480</v>
      </c>
      <c r="F59" s="15">
        <v>330.62</v>
      </c>
      <c r="G59" s="11">
        <f t="shared" si="0"/>
        <v>16.531000000000002</v>
      </c>
    </row>
    <row r="60" spans="1:7" x14ac:dyDescent="0.3">
      <c r="A60" s="7" t="s">
        <v>47</v>
      </c>
      <c r="B60" s="8" t="s">
        <v>7</v>
      </c>
      <c r="C60" s="8">
        <v>287100</v>
      </c>
      <c r="D60" s="8" t="s">
        <v>14</v>
      </c>
      <c r="E60" s="9">
        <v>140</v>
      </c>
      <c r="F60" s="10">
        <v>947.94</v>
      </c>
      <c r="G60" s="11">
        <f t="shared" si="0"/>
        <v>47.397000000000006</v>
      </c>
    </row>
    <row r="61" spans="1:7" x14ac:dyDescent="0.3">
      <c r="A61" s="12" t="s">
        <v>47</v>
      </c>
      <c r="B61" s="13" t="s">
        <v>7</v>
      </c>
      <c r="C61" s="13">
        <v>294199</v>
      </c>
      <c r="D61" s="13" t="s">
        <v>16</v>
      </c>
      <c r="E61" s="14">
        <v>30</v>
      </c>
      <c r="F61" s="15">
        <v>83.42</v>
      </c>
      <c r="G61" s="11">
        <f t="shared" si="0"/>
        <v>4.1710000000000003</v>
      </c>
    </row>
    <row r="62" spans="1:7" x14ac:dyDescent="0.3">
      <c r="A62" s="7" t="s">
        <v>47</v>
      </c>
      <c r="B62" s="8" t="s">
        <v>7</v>
      </c>
      <c r="C62" s="8">
        <v>498400</v>
      </c>
      <c r="D62" s="8" t="s">
        <v>18</v>
      </c>
      <c r="E62" s="9">
        <v>100</v>
      </c>
      <c r="F62" s="10">
        <v>2405</v>
      </c>
      <c r="G62" s="11">
        <f t="shared" si="0"/>
        <v>120.25</v>
      </c>
    </row>
    <row r="63" spans="1:7" x14ac:dyDescent="0.3">
      <c r="A63" s="12" t="s">
        <v>47</v>
      </c>
      <c r="B63" s="13" t="s">
        <v>7</v>
      </c>
      <c r="C63" s="13">
        <v>498450</v>
      </c>
      <c r="D63" s="13" t="s">
        <v>19</v>
      </c>
      <c r="E63" s="14">
        <v>175</v>
      </c>
      <c r="F63" s="15">
        <v>4532.5</v>
      </c>
      <c r="G63" s="11">
        <f t="shared" si="0"/>
        <v>226.625</v>
      </c>
    </row>
    <row r="64" spans="1:7" x14ac:dyDescent="0.3">
      <c r="A64" s="7" t="s">
        <v>47</v>
      </c>
      <c r="B64" s="8" t="s">
        <v>7</v>
      </c>
      <c r="C64" s="8">
        <v>498600</v>
      </c>
      <c r="D64" s="8" t="s">
        <v>20</v>
      </c>
      <c r="E64" s="9">
        <v>50</v>
      </c>
      <c r="F64" s="10">
        <v>1480</v>
      </c>
      <c r="G64" s="11">
        <f t="shared" si="0"/>
        <v>74</v>
      </c>
    </row>
    <row r="65" spans="1:7" x14ac:dyDescent="0.3">
      <c r="A65" s="7" t="s">
        <v>47</v>
      </c>
      <c r="B65" s="8" t="s">
        <v>7</v>
      </c>
      <c r="C65" s="8">
        <v>498650</v>
      </c>
      <c r="D65" s="8" t="s">
        <v>48</v>
      </c>
      <c r="E65" s="9">
        <v>60</v>
      </c>
      <c r="F65" s="10">
        <v>2055.7200000000003</v>
      </c>
      <c r="G65" s="11">
        <f t="shared" si="0"/>
        <v>102.78600000000002</v>
      </c>
    </row>
    <row r="66" spans="1:7" x14ac:dyDescent="0.3">
      <c r="A66" s="12" t="s">
        <v>47</v>
      </c>
      <c r="B66" s="13" t="s">
        <v>7</v>
      </c>
      <c r="C66" s="13">
        <v>581011</v>
      </c>
      <c r="D66" s="13" t="s">
        <v>21</v>
      </c>
      <c r="E66" s="14">
        <v>770</v>
      </c>
      <c r="F66" s="15">
        <v>1078</v>
      </c>
      <c r="G66" s="11">
        <f t="shared" si="0"/>
        <v>53.900000000000006</v>
      </c>
    </row>
    <row r="67" spans="1:7" x14ac:dyDescent="0.3">
      <c r="A67" s="7" t="s">
        <v>47</v>
      </c>
      <c r="B67" s="8" t="s">
        <v>7</v>
      </c>
      <c r="C67" s="8">
        <v>581100</v>
      </c>
      <c r="D67" s="8" t="s">
        <v>22</v>
      </c>
      <c r="E67" s="9">
        <v>65</v>
      </c>
      <c r="F67" s="10">
        <v>109.85</v>
      </c>
      <c r="G67" s="11">
        <f t="shared" si="0"/>
        <v>5.4924999999999997</v>
      </c>
    </row>
    <row r="68" spans="1:7" x14ac:dyDescent="0.3">
      <c r="A68" s="12" t="s">
        <v>47</v>
      </c>
      <c r="B68" s="13" t="s">
        <v>7</v>
      </c>
      <c r="C68" s="13">
        <v>595300</v>
      </c>
      <c r="D68" s="13" t="s">
        <v>24</v>
      </c>
      <c r="E68" s="14">
        <v>150</v>
      </c>
      <c r="F68" s="15">
        <v>391.5</v>
      </c>
      <c r="G68" s="11">
        <f t="shared" si="0"/>
        <v>19.575000000000003</v>
      </c>
    </row>
    <row r="69" spans="1:7" x14ac:dyDescent="0.3">
      <c r="A69" s="7" t="s">
        <v>47</v>
      </c>
      <c r="B69" s="8" t="s">
        <v>7</v>
      </c>
      <c r="C69" s="8">
        <v>595400</v>
      </c>
      <c r="D69" s="8" t="s">
        <v>25</v>
      </c>
      <c r="E69" s="9">
        <v>100</v>
      </c>
      <c r="F69" s="10">
        <v>442</v>
      </c>
      <c r="G69" s="11">
        <f t="shared" si="0"/>
        <v>22.1</v>
      </c>
    </row>
    <row r="70" spans="1:7" x14ac:dyDescent="0.3">
      <c r="A70" s="12" t="s">
        <v>47</v>
      </c>
      <c r="B70" s="13" t="s">
        <v>7</v>
      </c>
      <c r="C70" s="13">
        <v>1400123</v>
      </c>
      <c r="D70" s="13" t="s">
        <v>26</v>
      </c>
      <c r="E70" s="14">
        <v>1744</v>
      </c>
      <c r="F70" s="15">
        <v>66272</v>
      </c>
      <c r="G70" s="11">
        <f t="shared" si="0"/>
        <v>3313.6000000000004</v>
      </c>
    </row>
    <row r="71" spans="1:7" x14ac:dyDescent="0.3">
      <c r="A71" s="7" t="s">
        <v>47</v>
      </c>
      <c r="B71" s="8" t="s">
        <v>7</v>
      </c>
      <c r="C71" s="8">
        <v>1400227</v>
      </c>
      <c r="D71" s="8" t="s">
        <v>27</v>
      </c>
      <c r="E71" s="9">
        <v>132</v>
      </c>
      <c r="F71" s="10">
        <v>1762.4200000000003</v>
      </c>
      <c r="G71" s="11">
        <f t="shared" si="0"/>
        <v>88.121000000000024</v>
      </c>
    </row>
    <row r="72" spans="1:7" x14ac:dyDescent="0.3">
      <c r="A72" s="7" t="s">
        <v>47</v>
      </c>
      <c r="B72" s="8" t="s">
        <v>7</v>
      </c>
      <c r="C72" s="8">
        <v>1400800</v>
      </c>
      <c r="D72" s="8" t="s">
        <v>28</v>
      </c>
      <c r="E72" s="9">
        <v>3613</v>
      </c>
      <c r="F72" s="10">
        <v>505820</v>
      </c>
      <c r="G72" s="11">
        <f t="shared" si="0"/>
        <v>25291</v>
      </c>
    </row>
    <row r="73" spans="1:7" x14ac:dyDescent="0.3">
      <c r="A73" s="12" t="s">
        <v>47</v>
      </c>
      <c r="B73" s="13" t="s">
        <v>7</v>
      </c>
      <c r="C73" s="13">
        <v>1401007</v>
      </c>
      <c r="D73" s="13" t="s">
        <v>29</v>
      </c>
      <c r="E73" s="14">
        <v>592</v>
      </c>
      <c r="F73" s="15">
        <v>21306.080000000002</v>
      </c>
      <c r="G73" s="11">
        <f t="shared" si="0"/>
        <v>1065.3040000000001</v>
      </c>
    </row>
    <row r="74" spans="1:7" x14ac:dyDescent="0.3">
      <c r="A74" s="7" t="s">
        <v>47</v>
      </c>
      <c r="B74" s="8" t="s">
        <v>7</v>
      </c>
      <c r="C74" s="8">
        <v>1401011</v>
      </c>
      <c r="D74" s="8" t="s">
        <v>30</v>
      </c>
      <c r="E74" s="9">
        <v>3</v>
      </c>
      <c r="F74" s="10">
        <v>429.24</v>
      </c>
      <c r="G74" s="11">
        <f t="shared" ref="G74:G137" si="1">F74*0.05</f>
        <v>21.462000000000003</v>
      </c>
    </row>
    <row r="75" spans="1:7" x14ac:dyDescent="0.3">
      <c r="A75" s="12" t="s">
        <v>49</v>
      </c>
      <c r="B75" s="13" t="s">
        <v>50</v>
      </c>
      <c r="C75" s="13">
        <v>498650</v>
      </c>
      <c r="D75" s="13" t="s">
        <v>48</v>
      </c>
      <c r="E75" s="14">
        <v>300</v>
      </c>
      <c r="F75" s="15">
        <v>10278.600000000002</v>
      </c>
      <c r="G75" s="11">
        <f t="shared" si="1"/>
        <v>513.93000000000018</v>
      </c>
    </row>
    <row r="76" spans="1:7" x14ac:dyDescent="0.3">
      <c r="A76" s="7" t="s">
        <v>49</v>
      </c>
      <c r="B76" s="8" t="s">
        <v>50</v>
      </c>
      <c r="C76" s="8">
        <v>1401007</v>
      </c>
      <c r="D76" s="8" t="s">
        <v>29</v>
      </c>
      <c r="E76" s="9">
        <v>24</v>
      </c>
      <c r="F76" s="10">
        <v>863.76</v>
      </c>
      <c r="G76" s="11">
        <f t="shared" si="1"/>
        <v>43.188000000000002</v>
      </c>
    </row>
    <row r="77" spans="1:7" x14ac:dyDescent="0.3">
      <c r="A77" s="12" t="s">
        <v>51</v>
      </c>
      <c r="B77" s="13" t="s">
        <v>32</v>
      </c>
      <c r="C77" s="13">
        <v>1434</v>
      </c>
      <c r="D77" s="13" t="s">
        <v>33</v>
      </c>
      <c r="E77" s="14">
        <v>18</v>
      </c>
      <c r="F77" s="15">
        <v>488.52</v>
      </c>
      <c r="G77" s="11">
        <f t="shared" si="1"/>
        <v>24.426000000000002</v>
      </c>
    </row>
    <row r="78" spans="1:7" x14ac:dyDescent="0.3">
      <c r="A78" s="7" t="s">
        <v>51</v>
      </c>
      <c r="B78" s="8" t="s">
        <v>32</v>
      </c>
      <c r="C78" s="8">
        <v>1437</v>
      </c>
      <c r="D78" s="8" t="s">
        <v>52</v>
      </c>
      <c r="E78" s="9">
        <v>22</v>
      </c>
      <c r="F78" s="10">
        <v>527.34000000000015</v>
      </c>
      <c r="G78" s="11">
        <f t="shared" si="1"/>
        <v>26.367000000000008</v>
      </c>
    </row>
    <row r="79" spans="1:7" x14ac:dyDescent="0.3">
      <c r="A79" s="7" t="s">
        <v>51</v>
      </c>
      <c r="B79" s="8" t="s">
        <v>32</v>
      </c>
      <c r="C79" s="8">
        <v>1438</v>
      </c>
      <c r="D79" s="8" t="s">
        <v>34</v>
      </c>
      <c r="E79" s="9">
        <v>12</v>
      </c>
      <c r="F79" s="10">
        <v>354.96000000000004</v>
      </c>
      <c r="G79" s="11">
        <f t="shared" si="1"/>
        <v>17.748000000000001</v>
      </c>
    </row>
    <row r="80" spans="1:7" x14ac:dyDescent="0.3">
      <c r="A80" s="12" t="s">
        <v>51</v>
      </c>
      <c r="B80" s="13" t="s">
        <v>32</v>
      </c>
      <c r="C80" s="13">
        <v>1448</v>
      </c>
      <c r="D80" s="13" t="s">
        <v>53</v>
      </c>
      <c r="E80" s="14">
        <v>22</v>
      </c>
      <c r="F80" s="15">
        <v>639.54</v>
      </c>
      <c r="G80" s="11">
        <f t="shared" si="1"/>
        <v>31.977</v>
      </c>
    </row>
    <row r="81" spans="1:7" x14ac:dyDescent="0.3">
      <c r="A81" s="7" t="s">
        <v>51</v>
      </c>
      <c r="B81" s="8" t="s">
        <v>32</v>
      </c>
      <c r="C81" s="8">
        <v>252000</v>
      </c>
      <c r="D81" s="8" t="s">
        <v>54</v>
      </c>
      <c r="E81" s="9">
        <v>300</v>
      </c>
      <c r="F81" s="10">
        <v>324.54000000000002</v>
      </c>
      <c r="G81" s="11">
        <f t="shared" si="1"/>
        <v>16.227</v>
      </c>
    </row>
    <row r="82" spans="1:7" x14ac:dyDescent="0.3">
      <c r="A82" s="12" t="s">
        <v>51</v>
      </c>
      <c r="B82" s="13" t="s">
        <v>32</v>
      </c>
      <c r="C82" s="13">
        <v>252200</v>
      </c>
      <c r="D82" s="13" t="s">
        <v>55</v>
      </c>
      <c r="E82" s="14">
        <v>200</v>
      </c>
      <c r="F82" s="15">
        <v>407.52</v>
      </c>
      <c r="G82" s="11">
        <f t="shared" si="1"/>
        <v>20.376000000000001</v>
      </c>
    </row>
    <row r="83" spans="1:7" x14ac:dyDescent="0.3">
      <c r="A83" s="7" t="s">
        <v>51</v>
      </c>
      <c r="B83" s="8" t="s">
        <v>32</v>
      </c>
      <c r="C83" s="8">
        <v>290799</v>
      </c>
      <c r="D83" s="8" t="s">
        <v>56</v>
      </c>
      <c r="E83" s="9">
        <v>40</v>
      </c>
      <c r="F83" s="10">
        <v>171.25</v>
      </c>
      <c r="G83" s="11">
        <f t="shared" si="1"/>
        <v>8.5625</v>
      </c>
    </row>
    <row r="84" spans="1:7" x14ac:dyDescent="0.3">
      <c r="A84" s="12" t="s">
        <v>51</v>
      </c>
      <c r="B84" s="13" t="s">
        <v>32</v>
      </c>
      <c r="C84" s="13">
        <v>581011</v>
      </c>
      <c r="D84" s="13" t="s">
        <v>21</v>
      </c>
      <c r="E84" s="14">
        <v>70</v>
      </c>
      <c r="F84" s="15">
        <v>98</v>
      </c>
      <c r="G84" s="11">
        <f t="shared" si="1"/>
        <v>4.9000000000000004</v>
      </c>
    </row>
    <row r="85" spans="1:7" x14ac:dyDescent="0.3">
      <c r="A85" s="7" t="s">
        <v>51</v>
      </c>
      <c r="B85" s="8" t="s">
        <v>32</v>
      </c>
      <c r="C85" s="8">
        <v>595200</v>
      </c>
      <c r="D85" s="8" t="s">
        <v>23</v>
      </c>
      <c r="E85" s="9">
        <v>850</v>
      </c>
      <c r="F85" s="10">
        <v>1751.5</v>
      </c>
      <c r="G85" s="11">
        <f t="shared" si="1"/>
        <v>87.575000000000003</v>
      </c>
    </row>
    <row r="86" spans="1:7" x14ac:dyDescent="0.3">
      <c r="A86" s="7" t="s">
        <v>51</v>
      </c>
      <c r="B86" s="8" t="s">
        <v>32</v>
      </c>
      <c r="C86" s="8">
        <v>595300</v>
      </c>
      <c r="D86" s="8" t="s">
        <v>24</v>
      </c>
      <c r="E86" s="9">
        <v>700</v>
      </c>
      <c r="F86" s="10">
        <v>1826.9999999999998</v>
      </c>
      <c r="G86" s="11">
        <f t="shared" si="1"/>
        <v>91.35</v>
      </c>
    </row>
    <row r="87" spans="1:7" x14ac:dyDescent="0.3">
      <c r="A87" s="12" t="s">
        <v>51</v>
      </c>
      <c r="B87" s="13" t="s">
        <v>32</v>
      </c>
      <c r="C87" s="13">
        <v>595400</v>
      </c>
      <c r="D87" s="13" t="s">
        <v>41</v>
      </c>
      <c r="E87" s="14">
        <v>50</v>
      </c>
      <c r="F87" s="15">
        <v>221</v>
      </c>
      <c r="G87" s="11">
        <f t="shared" si="1"/>
        <v>11.05</v>
      </c>
    </row>
    <row r="88" spans="1:7" x14ac:dyDescent="0.3">
      <c r="A88" s="7" t="s">
        <v>51</v>
      </c>
      <c r="B88" s="8" t="s">
        <v>32</v>
      </c>
      <c r="C88" s="8"/>
      <c r="D88" s="8" t="s">
        <v>25</v>
      </c>
      <c r="E88" s="9">
        <v>20</v>
      </c>
      <c r="F88" s="10">
        <v>88.4</v>
      </c>
      <c r="G88" s="11">
        <f t="shared" si="1"/>
        <v>4.4200000000000008</v>
      </c>
    </row>
    <row r="89" spans="1:7" x14ac:dyDescent="0.3">
      <c r="A89" s="12" t="s">
        <v>51</v>
      </c>
      <c r="B89" s="13" t="s">
        <v>32</v>
      </c>
      <c r="C89" s="13">
        <v>610400</v>
      </c>
      <c r="D89" s="13" t="s">
        <v>57</v>
      </c>
      <c r="E89" s="14">
        <v>40</v>
      </c>
      <c r="F89" s="15">
        <v>194.4</v>
      </c>
      <c r="G89" s="11">
        <f t="shared" si="1"/>
        <v>9.7200000000000006</v>
      </c>
    </row>
    <row r="90" spans="1:7" x14ac:dyDescent="0.3">
      <c r="A90" s="7" t="s">
        <v>58</v>
      </c>
      <c r="B90" s="8" t="s">
        <v>7</v>
      </c>
      <c r="C90" s="8">
        <v>212199</v>
      </c>
      <c r="D90" s="8" t="s">
        <v>59</v>
      </c>
      <c r="E90" s="9">
        <v>400</v>
      </c>
      <c r="F90" s="10">
        <v>1316.0000000000002</v>
      </c>
      <c r="G90" s="11">
        <f t="shared" si="1"/>
        <v>65.800000000000011</v>
      </c>
    </row>
    <row r="91" spans="1:7" x14ac:dyDescent="0.3">
      <c r="A91" s="12" t="s">
        <v>58</v>
      </c>
      <c r="B91" s="13" t="s">
        <v>7</v>
      </c>
      <c r="C91" s="13">
        <v>282055</v>
      </c>
      <c r="D91" s="13" t="s">
        <v>8</v>
      </c>
      <c r="E91" s="14">
        <v>64872</v>
      </c>
      <c r="F91" s="15">
        <v>378048.06999999989</v>
      </c>
      <c r="G91" s="11">
        <f t="shared" si="1"/>
        <v>18902.403499999997</v>
      </c>
    </row>
    <row r="92" spans="1:7" x14ac:dyDescent="0.3">
      <c r="A92" s="7" t="s">
        <v>58</v>
      </c>
      <c r="B92" s="8" t="s">
        <v>7</v>
      </c>
      <c r="C92" s="8">
        <v>282455</v>
      </c>
      <c r="D92" s="8" t="s">
        <v>9</v>
      </c>
      <c r="E92" s="9">
        <v>52110</v>
      </c>
      <c r="F92" s="10">
        <v>476949.81000000006</v>
      </c>
      <c r="G92" s="11">
        <f t="shared" si="1"/>
        <v>23847.490500000004</v>
      </c>
    </row>
    <row r="93" spans="1:7" x14ac:dyDescent="0.3">
      <c r="A93" s="7" t="s">
        <v>58</v>
      </c>
      <c r="B93" s="8" t="s">
        <v>7</v>
      </c>
      <c r="C93" s="8">
        <v>282790</v>
      </c>
      <c r="D93" s="8" t="s">
        <v>10</v>
      </c>
      <c r="E93" s="9">
        <v>46110</v>
      </c>
      <c r="F93" s="10">
        <v>444300.59</v>
      </c>
      <c r="G93" s="11">
        <f t="shared" si="1"/>
        <v>22215.029500000004</v>
      </c>
    </row>
    <row r="94" spans="1:7" x14ac:dyDescent="0.3">
      <c r="A94" s="12" t="s">
        <v>58</v>
      </c>
      <c r="B94" s="13" t="s">
        <v>7</v>
      </c>
      <c r="C94" s="13">
        <v>284090</v>
      </c>
      <c r="D94" s="13" t="s">
        <v>11</v>
      </c>
      <c r="E94" s="14">
        <v>355</v>
      </c>
      <c r="F94" s="15">
        <v>689.77</v>
      </c>
      <c r="G94" s="11">
        <f t="shared" si="1"/>
        <v>34.488500000000002</v>
      </c>
    </row>
    <row r="95" spans="1:7" x14ac:dyDescent="0.3">
      <c r="A95" s="7" t="s">
        <v>58</v>
      </c>
      <c r="B95" s="8" t="s">
        <v>7</v>
      </c>
      <c r="C95" s="8">
        <v>284190</v>
      </c>
      <c r="D95" s="8" t="s">
        <v>12</v>
      </c>
      <c r="E95" s="9">
        <v>810</v>
      </c>
      <c r="F95" s="10">
        <v>1763.8600000000001</v>
      </c>
      <c r="G95" s="11">
        <f t="shared" si="1"/>
        <v>88.193000000000012</v>
      </c>
    </row>
    <row r="96" spans="1:7" x14ac:dyDescent="0.3">
      <c r="A96" s="12" t="s">
        <v>58</v>
      </c>
      <c r="B96" s="13" t="s">
        <v>7</v>
      </c>
      <c r="C96" s="13">
        <v>285580</v>
      </c>
      <c r="D96" s="13" t="s">
        <v>13</v>
      </c>
      <c r="E96" s="14">
        <v>1920</v>
      </c>
      <c r="F96" s="15">
        <v>1322.48</v>
      </c>
      <c r="G96" s="11">
        <f t="shared" si="1"/>
        <v>66.124000000000009</v>
      </c>
    </row>
    <row r="97" spans="1:7" x14ac:dyDescent="0.3">
      <c r="A97" s="7" t="s">
        <v>58</v>
      </c>
      <c r="B97" s="8" t="s">
        <v>7</v>
      </c>
      <c r="C97" s="8">
        <v>288100</v>
      </c>
      <c r="D97" s="8" t="s">
        <v>15</v>
      </c>
      <c r="E97" s="9">
        <v>75</v>
      </c>
      <c r="F97" s="10">
        <v>680</v>
      </c>
      <c r="G97" s="11">
        <f t="shared" si="1"/>
        <v>34</v>
      </c>
    </row>
    <row r="98" spans="1:7" x14ac:dyDescent="0.3">
      <c r="A98" s="12" t="s">
        <v>58</v>
      </c>
      <c r="B98" s="13" t="s">
        <v>7</v>
      </c>
      <c r="C98" s="13">
        <v>294199</v>
      </c>
      <c r="D98" s="13" t="s">
        <v>16</v>
      </c>
      <c r="E98" s="14">
        <v>90</v>
      </c>
      <c r="F98" s="15">
        <v>250.25000000000003</v>
      </c>
      <c r="G98" s="11">
        <f t="shared" si="1"/>
        <v>12.512500000000003</v>
      </c>
    </row>
    <row r="99" spans="1:7" x14ac:dyDescent="0.3">
      <c r="A99" s="7" t="s">
        <v>58</v>
      </c>
      <c r="B99" s="8" t="s">
        <v>7</v>
      </c>
      <c r="C99" s="8">
        <v>496300</v>
      </c>
      <c r="D99" s="8" t="s">
        <v>60</v>
      </c>
      <c r="E99" s="9">
        <v>200</v>
      </c>
      <c r="F99" s="10">
        <v>777.6</v>
      </c>
      <c r="G99" s="11">
        <f t="shared" si="1"/>
        <v>38.880000000000003</v>
      </c>
    </row>
    <row r="100" spans="1:7" x14ac:dyDescent="0.3">
      <c r="A100" s="7" t="s">
        <v>58</v>
      </c>
      <c r="B100" s="8" t="s">
        <v>7</v>
      </c>
      <c r="C100" s="8">
        <v>496405</v>
      </c>
      <c r="D100" s="8" t="s">
        <v>61</v>
      </c>
      <c r="E100" s="9">
        <v>25</v>
      </c>
      <c r="F100" s="10">
        <v>136.80000000000001</v>
      </c>
      <c r="G100" s="11">
        <f t="shared" si="1"/>
        <v>6.8400000000000007</v>
      </c>
    </row>
    <row r="101" spans="1:7" x14ac:dyDescent="0.3">
      <c r="A101" s="12" t="s">
        <v>58</v>
      </c>
      <c r="B101" s="13" t="s">
        <v>7</v>
      </c>
      <c r="C101" s="13">
        <v>496605</v>
      </c>
      <c r="D101" s="13" t="s">
        <v>62</v>
      </c>
      <c r="E101" s="14">
        <v>25</v>
      </c>
      <c r="F101" s="15">
        <v>154.80000000000001</v>
      </c>
      <c r="G101" s="11">
        <f t="shared" si="1"/>
        <v>7.7400000000000011</v>
      </c>
    </row>
    <row r="102" spans="1:7" x14ac:dyDescent="0.3">
      <c r="A102" s="7" t="s">
        <v>58</v>
      </c>
      <c r="B102" s="8" t="s">
        <v>7</v>
      </c>
      <c r="C102" s="8">
        <v>498400</v>
      </c>
      <c r="D102" s="8" t="s">
        <v>18</v>
      </c>
      <c r="E102" s="9">
        <v>150</v>
      </c>
      <c r="F102" s="10">
        <v>3607.5</v>
      </c>
      <c r="G102" s="11">
        <f t="shared" si="1"/>
        <v>180.375</v>
      </c>
    </row>
    <row r="103" spans="1:7" x14ac:dyDescent="0.3">
      <c r="A103" s="12" t="s">
        <v>58</v>
      </c>
      <c r="B103" s="13" t="s">
        <v>7</v>
      </c>
      <c r="C103" s="13">
        <v>498450</v>
      </c>
      <c r="D103" s="13" t="s">
        <v>19</v>
      </c>
      <c r="E103" s="14">
        <v>350</v>
      </c>
      <c r="F103" s="15">
        <v>9065</v>
      </c>
      <c r="G103" s="11">
        <f t="shared" si="1"/>
        <v>453.25</v>
      </c>
    </row>
    <row r="104" spans="1:7" x14ac:dyDescent="0.3">
      <c r="A104" s="7" t="s">
        <v>58</v>
      </c>
      <c r="B104" s="8" t="s">
        <v>7</v>
      </c>
      <c r="C104" s="8">
        <v>498600</v>
      </c>
      <c r="D104" s="8" t="s">
        <v>20</v>
      </c>
      <c r="E104" s="9">
        <v>100</v>
      </c>
      <c r="F104" s="10">
        <v>2960</v>
      </c>
      <c r="G104" s="11">
        <f t="shared" si="1"/>
        <v>148</v>
      </c>
    </row>
    <row r="105" spans="1:7" x14ac:dyDescent="0.3">
      <c r="A105" s="12" t="s">
        <v>58</v>
      </c>
      <c r="B105" s="13" t="s">
        <v>7</v>
      </c>
      <c r="C105" s="13">
        <v>498650</v>
      </c>
      <c r="D105" s="13" t="s">
        <v>48</v>
      </c>
      <c r="E105" s="14">
        <v>120</v>
      </c>
      <c r="F105" s="15">
        <v>4111.4400000000005</v>
      </c>
      <c r="G105" s="11">
        <f t="shared" si="1"/>
        <v>205.57200000000003</v>
      </c>
    </row>
    <row r="106" spans="1:7" x14ac:dyDescent="0.3">
      <c r="A106" s="7" t="s">
        <v>58</v>
      </c>
      <c r="B106" s="8" t="s">
        <v>7</v>
      </c>
      <c r="C106" s="8">
        <v>581011</v>
      </c>
      <c r="D106" s="8" t="s">
        <v>21</v>
      </c>
      <c r="E106" s="9">
        <v>700</v>
      </c>
      <c r="F106" s="10">
        <v>980</v>
      </c>
      <c r="G106" s="11">
        <f t="shared" si="1"/>
        <v>49</v>
      </c>
    </row>
    <row r="107" spans="1:7" x14ac:dyDescent="0.3">
      <c r="A107" s="7" t="s">
        <v>58</v>
      </c>
      <c r="B107" s="8" t="s">
        <v>7</v>
      </c>
      <c r="C107" s="8">
        <v>595200</v>
      </c>
      <c r="D107" s="8" t="s">
        <v>23</v>
      </c>
      <c r="E107" s="9">
        <v>15</v>
      </c>
      <c r="F107" s="10">
        <v>28.650000000000002</v>
      </c>
      <c r="G107" s="11">
        <f t="shared" si="1"/>
        <v>1.4325000000000001</v>
      </c>
    </row>
    <row r="108" spans="1:7" x14ac:dyDescent="0.3">
      <c r="A108" s="12" t="s">
        <v>58</v>
      </c>
      <c r="B108" s="13" t="s">
        <v>7</v>
      </c>
      <c r="C108" s="13">
        <v>1400123</v>
      </c>
      <c r="D108" s="13" t="s">
        <v>26</v>
      </c>
      <c r="E108" s="14">
        <v>5898</v>
      </c>
      <c r="F108" s="15">
        <v>224124</v>
      </c>
      <c r="G108" s="11">
        <f t="shared" si="1"/>
        <v>11206.2</v>
      </c>
    </row>
    <row r="109" spans="1:7" x14ac:dyDescent="0.3">
      <c r="A109" s="7" t="s">
        <v>58</v>
      </c>
      <c r="B109" s="8" t="s">
        <v>7</v>
      </c>
      <c r="C109" s="8">
        <v>1400227</v>
      </c>
      <c r="D109" s="8" t="s">
        <v>27</v>
      </c>
      <c r="E109" s="9">
        <v>288</v>
      </c>
      <c r="F109" s="10">
        <v>3845.2800000000007</v>
      </c>
      <c r="G109" s="11">
        <f t="shared" si="1"/>
        <v>192.26400000000004</v>
      </c>
    </row>
    <row r="110" spans="1:7" x14ac:dyDescent="0.3">
      <c r="A110" s="12" t="s">
        <v>58</v>
      </c>
      <c r="B110" s="13" t="s">
        <v>7</v>
      </c>
      <c r="C110" s="13">
        <v>1400800</v>
      </c>
      <c r="D110" s="13" t="s">
        <v>28</v>
      </c>
      <c r="E110" s="14">
        <v>7925</v>
      </c>
      <c r="F110" s="15">
        <v>1109500</v>
      </c>
      <c r="G110" s="11">
        <f t="shared" si="1"/>
        <v>55475</v>
      </c>
    </row>
    <row r="111" spans="1:7" x14ac:dyDescent="0.3">
      <c r="A111" s="7" t="s">
        <v>58</v>
      </c>
      <c r="B111" s="8" t="s">
        <v>7</v>
      </c>
      <c r="C111" s="8">
        <v>1401003</v>
      </c>
      <c r="D111" s="8" t="s">
        <v>63</v>
      </c>
      <c r="E111" s="9">
        <v>1</v>
      </c>
      <c r="F111" s="10">
        <v>143.07999999999998</v>
      </c>
      <c r="G111" s="11">
        <f t="shared" si="1"/>
        <v>7.1539999999999999</v>
      </c>
    </row>
    <row r="112" spans="1:7" x14ac:dyDescent="0.3">
      <c r="A112" s="12" t="s">
        <v>58</v>
      </c>
      <c r="B112" s="13" t="s">
        <v>7</v>
      </c>
      <c r="C112" s="13">
        <v>1401007</v>
      </c>
      <c r="D112" s="13" t="s">
        <v>29</v>
      </c>
      <c r="E112" s="14">
        <v>1248</v>
      </c>
      <c r="F112" s="15">
        <v>44915.519999999997</v>
      </c>
      <c r="G112" s="11">
        <f t="shared" si="1"/>
        <v>2245.7759999999998</v>
      </c>
    </row>
    <row r="113" spans="1:7" x14ac:dyDescent="0.3">
      <c r="A113" s="7" t="s">
        <v>58</v>
      </c>
      <c r="B113" s="8" t="s">
        <v>7</v>
      </c>
      <c r="C113" s="8">
        <v>1401008</v>
      </c>
      <c r="D113" s="8" t="s">
        <v>64</v>
      </c>
      <c r="E113" s="9">
        <v>8</v>
      </c>
      <c r="F113" s="10">
        <v>448</v>
      </c>
      <c r="G113" s="11">
        <f t="shared" si="1"/>
        <v>22.400000000000002</v>
      </c>
    </row>
    <row r="114" spans="1:7" x14ac:dyDescent="0.3">
      <c r="A114" s="7" t="s">
        <v>58</v>
      </c>
      <c r="B114" s="8" t="s">
        <v>7</v>
      </c>
      <c r="C114" s="8">
        <v>1401011</v>
      </c>
      <c r="D114" s="8" t="s">
        <v>30</v>
      </c>
      <c r="E114" s="9">
        <v>3</v>
      </c>
      <c r="F114" s="10">
        <v>429.24</v>
      </c>
      <c r="G114" s="11">
        <f t="shared" si="1"/>
        <v>21.462000000000003</v>
      </c>
    </row>
    <row r="115" spans="1:7" x14ac:dyDescent="0.3">
      <c r="A115" s="12" t="s">
        <v>65</v>
      </c>
      <c r="B115" s="13" t="s">
        <v>7</v>
      </c>
      <c r="C115" s="13">
        <v>282055</v>
      </c>
      <c r="D115" s="13" t="s">
        <v>8</v>
      </c>
      <c r="E115" s="14">
        <v>9</v>
      </c>
      <c r="F115" s="15">
        <v>52.47</v>
      </c>
      <c r="G115" s="11">
        <f t="shared" si="1"/>
        <v>2.6234999999999999</v>
      </c>
    </row>
    <row r="116" spans="1:7" x14ac:dyDescent="0.3">
      <c r="A116" s="7" t="s">
        <v>65</v>
      </c>
      <c r="B116" s="8" t="s">
        <v>7</v>
      </c>
      <c r="C116" s="8">
        <v>285280</v>
      </c>
      <c r="D116" s="8" t="s">
        <v>66</v>
      </c>
      <c r="E116" s="9">
        <v>10</v>
      </c>
      <c r="F116" s="10">
        <v>18.299999999999997</v>
      </c>
      <c r="G116" s="11">
        <f t="shared" si="1"/>
        <v>0.91499999999999992</v>
      </c>
    </row>
    <row r="117" spans="1:7" x14ac:dyDescent="0.3">
      <c r="A117" s="12" t="s">
        <v>67</v>
      </c>
      <c r="B117" s="13" t="s">
        <v>32</v>
      </c>
      <c r="C117" s="13">
        <v>595200</v>
      </c>
      <c r="D117" s="13" t="s">
        <v>23</v>
      </c>
      <c r="E117" s="14">
        <v>150</v>
      </c>
      <c r="F117" s="15">
        <v>350.5</v>
      </c>
      <c r="G117" s="11">
        <f t="shared" si="1"/>
        <v>17.525000000000002</v>
      </c>
    </row>
    <row r="118" spans="1:7" x14ac:dyDescent="0.3">
      <c r="A118" s="7" t="s">
        <v>67</v>
      </c>
      <c r="B118" s="8" t="s">
        <v>32</v>
      </c>
      <c r="C118" s="8">
        <v>595300</v>
      </c>
      <c r="D118" s="8" t="s">
        <v>24</v>
      </c>
      <c r="E118" s="9">
        <v>100</v>
      </c>
      <c r="F118" s="10">
        <v>260.99999999999994</v>
      </c>
      <c r="G118" s="11">
        <f t="shared" si="1"/>
        <v>13.049999999999997</v>
      </c>
    </row>
    <row r="119" spans="1:7" x14ac:dyDescent="0.3">
      <c r="A119" s="12" t="s">
        <v>67</v>
      </c>
      <c r="B119" s="13" t="s">
        <v>32</v>
      </c>
      <c r="C119" s="13">
        <v>610400</v>
      </c>
      <c r="D119" s="13" t="s">
        <v>57</v>
      </c>
      <c r="E119" s="14">
        <v>40</v>
      </c>
      <c r="F119" s="15">
        <v>194.4</v>
      </c>
      <c r="G119" s="11">
        <f t="shared" si="1"/>
        <v>9.7200000000000006</v>
      </c>
    </row>
    <row r="120" spans="1:7" x14ac:dyDescent="0.3">
      <c r="A120" s="7" t="s">
        <v>68</v>
      </c>
      <c r="B120" s="8" t="s">
        <v>7</v>
      </c>
      <c r="C120" s="8">
        <v>212199</v>
      </c>
      <c r="D120" s="8" t="s">
        <v>59</v>
      </c>
      <c r="E120" s="9">
        <v>40</v>
      </c>
      <c r="F120" s="10">
        <v>182.8</v>
      </c>
      <c r="G120" s="11">
        <f t="shared" si="1"/>
        <v>9.14</v>
      </c>
    </row>
    <row r="121" spans="1:7" x14ac:dyDescent="0.3">
      <c r="A121" s="7" t="s">
        <v>68</v>
      </c>
      <c r="B121" s="8" t="s">
        <v>7</v>
      </c>
      <c r="C121" s="8">
        <v>282055</v>
      </c>
      <c r="D121" s="8" t="s">
        <v>8</v>
      </c>
      <c r="E121" s="9">
        <v>9050</v>
      </c>
      <c r="F121" s="10">
        <v>52739.78</v>
      </c>
      <c r="G121" s="11">
        <f t="shared" si="1"/>
        <v>2636.989</v>
      </c>
    </row>
    <row r="122" spans="1:7" x14ac:dyDescent="0.3">
      <c r="A122" s="12" t="s">
        <v>68</v>
      </c>
      <c r="B122" s="13" t="s">
        <v>7</v>
      </c>
      <c r="C122" s="13">
        <v>282455</v>
      </c>
      <c r="D122" s="13" t="s">
        <v>9</v>
      </c>
      <c r="E122" s="14">
        <v>7240</v>
      </c>
      <c r="F122" s="15">
        <v>66265.910000000018</v>
      </c>
      <c r="G122" s="11">
        <f t="shared" si="1"/>
        <v>3313.2955000000011</v>
      </c>
    </row>
    <row r="123" spans="1:7" x14ac:dyDescent="0.3">
      <c r="A123" s="7" t="s">
        <v>68</v>
      </c>
      <c r="B123" s="8" t="s">
        <v>7</v>
      </c>
      <c r="C123" s="8">
        <v>282790</v>
      </c>
      <c r="D123" s="8" t="s">
        <v>10</v>
      </c>
      <c r="E123" s="9">
        <v>6570</v>
      </c>
      <c r="F123" s="10">
        <v>63306.33</v>
      </c>
      <c r="G123" s="11">
        <f t="shared" si="1"/>
        <v>3165.3165000000004</v>
      </c>
    </row>
    <row r="124" spans="1:7" x14ac:dyDescent="0.3">
      <c r="A124" s="12" t="s">
        <v>68</v>
      </c>
      <c r="B124" s="13" t="s">
        <v>7</v>
      </c>
      <c r="C124" s="13">
        <v>284190</v>
      </c>
      <c r="D124" s="13" t="s">
        <v>12</v>
      </c>
      <c r="E124" s="14">
        <v>50</v>
      </c>
      <c r="F124" s="15">
        <v>108.88</v>
      </c>
      <c r="G124" s="11">
        <f t="shared" si="1"/>
        <v>5.444</v>
      </c>
    </row>
    <row r="125" spans="1:7" x14ac:dyDescent="0.3">
      <c r="A125" s="7" t="s">
        <v>68</v>
      </c>
      <c r="B125" s="8" t="s">
        <v>7</v>
      </c>
      <c r="C125" s="8">
        <v>285580</v>
      </c>
      <c r="D125" s="8" t="s">
        <v>13</v>
      </c>
      <c r="E125" s="9">
        <v>480</v>
      </c>
      <c r="F125" s="10">
        <v>330.62</v>
      </c>
      <c r="G125" s="11">
        <f t="shared" si="1"/>
        <v>16.531000000000002</v>
      </c>
    </row>
    <row r="126" spans="1:7" x14ac:dyDescent="0.3">
      <c r="A126" s="12" t="s">
        <v>68</v>
      </c>
      <c r="B126" s="13" t="s">
        <v>7</v>
      </c>
      <c r="C126" s="13">
        <v>498400</v>
      </c>
      <c r="D126" s="13" t="s">
        <v>18</v>
      </c>
      <c r="E126" s="14">
        <v>25</v>
      </c>
      <c r="F126" s="15">
        <v>601.25</v>
      </c>
      <c r="G126" s="11">
        <f t="shared" si="1"/>
        <v>30.0625</v>
      </c>
    </row>
    <row r="127" spans="1:7" x14ac:dyDescent="0.3">
      <c r="A127" s="7" t="s">
        <v>68</v>
      </c>
      <c r="B127" s="8" t="s">
        <v>7</v>
      </c>
      <c r="C127" s="8">
        <v>498600</v>
      </c>
      <c r="D127" s="8" t="s">
        <v>20</v>
      </c>
      <c r="E127" s="9">
        <v>50</v>
      </c>
      <c r="F127" s="10">
        <v>1480</v>
      </c>
      <c r="G127" s="11">
        <f t="shared" si="1"/>
        <v>74</v>
      </c>
    </row>
    <row r="128" spans="1:7" x14ac:dyDescent="0.3">
      <c r="A128" s="7" t="s">
        <v>68</v>
      </c>
      <c r="B128" s="8" t="s">
        <v>7</v>
      </c>
      <c r="C128" s="8">
        <v>1400123</v>
      </c>
      <c r="D128" s="8" t="s">
        <v>26</v>
      </c>
      <c r="E128" s="9">
        <v>1112</v>
      </c>
      <c r="F128" s="10">
        <v>42256</v>
      </c>
      <c r="G128" s="11">
        <f t="shared" si="1"/>
        <v>2112.8000000000002</v>
      </c>
    </row>
    <row r="129" spans="1:7" x14ac:dyDescent="0.3">
      <c r="A129" s="12" t="s">
        <v>68</v>
      </c>
      <c r="B129" s="13" t="s">
        <v>7</v>
      </c>
      <c r="C129" s="13">
        <v>1400227</v>
      </c>
      <c r="D129" s="13" t="s">
        <v>27</v>
      </c>
      <c r="E129" s="14">
        <v>24</v>
      </c>
      <c r="F129" s="15">
        <v>320.44000000000005</v>
      </c>
      <c r="G129" s="11">
        <f t="shared" si="1"/>
        <v>16.022000000000002</v>
      </c>
    </row>
    <row r="130" spans="1:7" x14ac:dyDescent="0.3">
      <c r="A130" s="7" t="s">
        <v>68</v>
      </c>
      <c r="B130" s="8" t="s">
        <v>7</v>
      </c>
      <c r="C130" s="8">
        <v>1400800</v>
      </c>
      <c r="D130" s="8" t="s">
        <v>28</v>
      </c>
      <c r="E130" s="9">
        <v>241</v>
      </c>
      <c r="F130" s="10">
        <v>33740</v>
      </c>
      <c r="G130" s="11">
        <f t="shared" si="1"/>
        <v>1687</v>
      </c>
    </row>
    <row r="131" spans="1:7" x14ac:dyDescent="0.3">
      <c r="A131" s="12" t="s">
        <v>68</v>
      </c>
      <c r="B131" s="13" t="s">
        <v>7</v>
      </c>
      <c r="C131" s="13">
        <v>1401007</v>
      </c>
      <c r="D131" s="13" t="s">
        <v>29</v>
      </c>
      <c r="E131" s="14">
        <v>128</v>
      </c>
      <c r="F131" s="15">
        <v>4606.7199999999993</v>
      </c>
      <c r="G131" s="11">
        <f t="shared" si="1"/>
        <v>230.33599999999998</v>
      </c>
    </row>
    <row r="132" spans="1:7" x14ac:dyDescent="0.3">
      <c r="A132" s="7" t="s">
        <v>69</v>
      </c>
      <c r="B132" s="8" t="s">
        <v>32</v>
      </c>
      <c r="C132" s="8">
        <v>1437</v>
      </c>
      <c r="D132" s="8" t="s">
        <v>52</v>
      </c>
      <c r="E132" s="9">
        <v>6</v>
      </c>
      <c r="F132" s="10">
        <v>143.82000000000005</v>
      </c>
      <c r="G132" s="11">
        <f t="shared" si="1"/>
        <v>7.1910000000000025</v>
      </c>
    </row>
    <row r="133" spans="1:7" x14ac:dyDescent="0.3">
      <c r="A133" s="12" t="s">
        <v>69</v>
      </c>
      <c r="B133" s="13" t="s">
        <v>32</v>
      </c>
      <c r="C133" s="13">
        <v>1438</v>
      </c>
      <c r="D133" s="13" t="s">
        <v>34</v>
      </c>
      <c r="E133" s="14">
        <v>6</v>
      </c>
      <c r="F133" s="15">
        <v>177.48000000000002</v>
      </c>
      <c r="G133" s="11">
        <f t="shared" si="1"/>
        <v>8.8740000000000006</v>
      </c>
    </row>
    <row r="134" spans="1:7" x14ac:dyDescent="0.3">
      <c r="A134" s="7" t="s">
        <v>69</v>
      </c>
      <c r="B134" s="8" t="s">
        <v>32</v>
      </c>
      <c r="C134" s="8">
        <v>252200</v>
      </c>
      <c r="D134" s="8" t="s">
        <v>55</v>
      </c>
      <c r="E134" s="9">
        <v>100</v>
      </c>
      <c r="F134" s="10">
        <v>203.76</v>
      </c>
      <c r="G134" s="11">
        <f t="shared" si="1"/>
        <v>10.188000000000001</v>
      </c>
    </row>
    <row r="135" spans="1:7" x14ac:dyDescent="0.3">
      <c r="A135" s="7" t="s">
        <v>70</v>
      </c>
      <c r="B135" s="8" t="s">
        <v>32</v>
      </c>
      <c r="C135" s="8">
        <v>1448</v>
      </c>
      <c r="D135" s="8" t="s">
        <v>53</v>
      </c>
      <c r="E135" s="9">
        <v>6</v>
      </c>
      <c r="F135" s="10">
        <v>174.42000000000002</v>
      </c>
      <c r="G135" s="11">
        <f t="shared" si="1"/>
        <v>8.7210000000000019</v>
      </c>
    </row>
    <row r="136" spans="1:7" x14ac:dyDescent="0.3">
      <c r="A136" s="12" t="s">
        <v>70</v>
      </c>
      <c r="B136" s="13" t="s">
        <v>32</v>
      </c>
      <c r="C136" s="13">
        <v>595200</v>
      </c>
      <c r="D136" s="13" t="s">
        <v>23</v>
      </c>
      <c r="E136" s="14">
        <v>100</v>
      </c>
      <c r="F136" s="15">
        <v>319</v>
      </c>
      <c r="G136" s="11">
        <f t="shared" si="1"/>
        <v>15.950000000000001</v>
      </c>
    </row>
    <row r="137" spans="1:7" x14ac:dyDescent="0.3">
      <c r="A137" s="7" t="s">
        <v>71</v>
      </c>
      <c r="B137" s="8" t="s">
        <v>32</v>
      </c>
      <c r="C137" s="8">
        <v>595200</v>
      </c>
      <c r="D137" s="8" t="s">
        <v>23</v>
      </c>
      <c r="E137" s="9">
        <v>100</v>
      </c>
      <c r="F137" s="10">
        <v>319</v>
      </c>
      <c r="G137" s="11">
        <f t="shared" si="1"/>
        <v>15.950000000000001</v>
      </c>
    </row>
    <row r="138" spans="1:7" x14ac:dyDescent="0.3">
      <c r="A138" s="12" t="s">
        <v>72</v>
      </c>
      <c r="B138" s="13" t="s">
        <v>50</v>
      </c>
      <c r="C138" s="13">
        <v>498650</v>
      </c>
      <c r="D138" s="13" t="s">
        <v>48</v>
      </c>
      <c r="E138" s="14">
        <v>420</v>
      </c>
      <c r="F138" s="15">
        <v>14390.040000000005</v>
      </c>
      <c r="G138" s="11">
        <f t="shared" ref="G138:G140" si="2">F138*0.05</f>
        <v>719.50200000000029</v>
      </c>
    </row>
    <row r="139" spans="1:7" x14ac:dyDescent="0.3">
      <c r="A139" s="7" t="s">
        <v>72</v>
      </c>
      <c r="B139" s="8" t="s">
        <v>50</v>
      </c>
      <c r="C139" s="8">
        <v>1401007</v>
      </c>
      <c r="D139" s="8" t="s">
        <v>29</v>
      </c>
      <c r="E139" s="9">
        <v>8</v>
      </c>
      <c r="F139" s="10">
        <v>287.92</v>
      </c>
      <c r="G139" s="11">
        <f t="shared" si="2"/>
        <v>14.396000000000001</v>
      </c>
    </row>
    <row r="140" spans="1:7" x14ac:dyDescent="0.3">
      <c r="A140" s="12" t="s">
        <v>73</v>
      </c>
      <c r="B140" s="13"/>
      <c r="C140" s="13"/>
      <c r="D140" s="13"/>
      <c r="E140" s="14">
        <v>376825</v>
      </c>
      <c r="F140" s="15">
        <v>5387417.2299999995</v>
      </c>
      <c r="G140" s="11">
        <f t="shared" si="2"/>
        <v>269370.8615</v>
      </c>
    </row>
    <row r="145" spans="6:6" x14ac:dyDescent="0.3">
      <c r="F145" s="23"/>
    </row>
  </sheetData>
  <autoFilter ref="A8:G140" xr:uid="{00000000-0001-0000-0000-000000000000}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EF522-B43A-460B-B800-EE68249C7E96}">
  <dimension ref="A1:C13"/>
  <sheetViews>
    <sheetView tabSelected="1" workbookViewId="0">
      <selection activeCell="C16" sqref="C16"/>
    </sheetView>
  </sheetViews>
  <sheetFormatPr defaultRowHeight="13.2" x14ac:dyDescent="0.25"/>
  <cols>
    <col min="1" max="1" width="12.33203125" style="16" customWidth="1"/>
    <col min="2" max="2" width="13.44140625" style="18" bestFit="1" customWidth="1"/>
    <col min="3" max="3" width="11.77734375" style="18" bestFit="1" customWidth="1"/>
    <col min="4" max="16384" width="8.88671875" style="16"/>
  </cols>
  <sheetData>
    <row r="1" spans="1:3" x14ac:dyDescent="0.25">
      <c r="A1" s="16" t="s">
        <v>86</v>
      </c>
    </row>
    <row r="3" spans="1:3" x14ac:dyDescent="0.25">
      <c r="A3" s="24" t="s">
        <v>84</v>
      </c>
    </row>
    <row r="4" spans="1:3" x14ac:dyDescent="0.25">
      <c r="A4" s="25" t="s">
        <v>85</v>
      </c>
    </row>
    <row r="5" spans="1:3" ht="12.6" customHeight="1" x14ac:dyDescent="0.25">
      <c r="A5" s="26" t="s">
        <v>83</v>
      </c>
    </row>
    <row r="7" spans="1:3" s="17" customFormat="1" x14ac:dyDescent="0.25">
      <c r="A7" s="19" t="s">
        <v>77</v>
      </c>
      <c r="B7" s="20" t="s">
        <v>78</v>
      </c>
      <c r="C7" s="20" t="s">
        <v>79</v>
      </c>
    </row>
    <row r="8" spans="1:3" x14ac:dyDescent="0.25">
      <c r="A8" s="21" t="s">
        <v>76</v>
      </c>
      <c r="B8" s="22">
        <v>5285004.76</v>
      </c>
      <c r="C8" s="22">
        <v>262250.23999999999</v>
      </c>
    </row>
    <row r="9" spans="1:3" x14ac:dyDescent="0.25">
      <c r="A9" s="21" t="s">
        <v>80</v>
      </c>
      <c r="B9" s="22">
        <v>65651.64</v>
      </c>
      <c r="C9" s="22">
        <v>3282.58</v>
      </c>
    </row>
    <row r="10" spans="1:3" x14ac:dyDescent="0.25">
      <c r="A10" s="21" t="s">
        <v>81</v>
      </c>
      <c r="B10" s="22">
        <v>25820.32</v>
      </c>
      <c r="C10" s="22">
        <v>1291.02</v>
      </c>
    </row>
    <row r="11" spans="1:3" x14ac:dyDescent="0.25">
      <c r="A11" s="21" t="s">
        <v>82</v>
      </c>
      <c r="B11" s="22">
        <v>10940.51</v>
      </c>
      <c r="C11" s="22">
        <v>547.03</v>
      </c>
    </row>
    <row r="13" spans="1:3" x14ac:dyDescent="0.25">
      <c r="B13" s="18">
        <f>SUM(B8:B12)</f>
        <v>5387417.2299999995</v>
      </c>
      <c r="C13" s="18">
        <f>SUM(C8:C12)</f>
        <v>267370.87000000005</v>
      </c>
    </row>
  </sheetData>
  <pageMargins left="0.2" right="0.2" top="0.25" bottom="0.2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Loyalty Rebate</vt:lpstr>
      <vt:lpstr>MHS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Kenya Williamson</dc:creator>
  <cp:lastModifiedBy>Patrick Rooney</cp:lastModifiedBy>
  <cp:lastPrinted>2026-02-17T22:17:22Z</cp:lastPrinted>
  <dcterms:created xsi:type="dcterms:W3CDTF">2026-01-14T20:20:55Z</dcterms:created>
  <dcterms:modified xsi:type="dcterms:W3CDTF">2026-02-17T22:17:54Z</dcterms:modified>
</cp:coreProperties>
</file>