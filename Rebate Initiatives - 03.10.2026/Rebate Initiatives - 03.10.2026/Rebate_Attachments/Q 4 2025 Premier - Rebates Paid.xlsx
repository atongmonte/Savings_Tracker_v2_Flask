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fioreorg-my.sharepoint.com/personal/mthan_montefiore_org/Documents/saving initiatives/rebate/Premier/"/>
    </mc:Choice>
  </mc:AlternateContent>
  <xr:revisionPtr revIDLastSave="13" documentId="8_{1ED4F216-9D2B-4F8F-BB80-5E52AC95C0CF}" xr6:coauthVersionLast="47" xr6:coauthVersionMax="47" xr10:uidLastSave="{8F932367-3CE3-4347-83B8-CDA346CA4F56}"/>
  <bookViews>
    <workbookView xWindow="-105" yWindow="0" windowWidth="19410" windowHeight="20985" xr2:uid="{9286FBCF-FE43-4541-B566-C572995730F9}"/>
  </bookViews>
  <sheets>
    <sheet name="Sheet1" sheetId="1" r:id="rId1"/>
    <sheet name="Rebates Paid – General GPO &amp; Ph" sheetId="2" r:id="rId2"/>
    <sheet name="Sheet1 (2)" sheetId="3" r:id="rId3"/>
  </sheets>
  <definedNames>
    <definedName name="_xlnm._FilterDatabase" localSheetId="0" hidden="1">Sheet1!$A$1:$F$1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F25" i="1"/>
  <c r="F26" i="1"/>
  <c r="F27" i="1"/>
  <c r="F28" i="1"/>
  <c r="F29" i="1"/>
  <c r="F30" i="1"/>
  <c r="F24" i="1"/>
  <c r="Q68" i="2"/>
  <c r="R68" i="2"/>
  <c r="S68" i="2"/>
  <c r="D31" i="1"/>
  <c r="D30" i="1"/>
  <c r="D29" i="1"/>
  <c r="D28" i="1"/>
  <c r="D27" i="1"/>
  <c r="D26" i="1"/>
  <c r="D25" i="1"/>
  <c r="D24" i="1"/>
</calcChain>
</file>

<file path=xl/sharedStrings.xml><?xml version="1.0" encoding="utf-8"?>
<sst xmlns="http://schemas.openxmlformats.org/spreadsheetml/2006/main" count="984" uniqueCount="149">
  <si>
    <t>Payee Entity Code</t>
  </si>
  <si>
    <t>Payee Name</t>
  </si>
  <si>
    <t>Payment #</t>
  </si>
  <si>
    <t>St. Luke's Cornwall Hospital - Newburgh Campus</t>
  </si>
  <si>
    <t>EFT-01202912</t>
  </si>
  <si>
    <t>White Plains Hospital Center</t>
  </si>
  <si>
    <t>EFT-01202620</t>
  </si>
  <si>
    <t>Burke Rehabilitation Hospital</t>
  </si>
  <si>
    <t>EFT-01203026</t>
  </si>
  <si>
    <t>NY2020</t>
  </si>
  <si>
    <t>Montefiore Medical Center</t>
  </si>
  <si>
    <t>EFT-01202843</t>
  </si>
  <si>
    <t>NY2256</t>
  </si>
  <si>
    <t>Montefiore Nyack Hospital</t>
  </si>
  <si>
    <t>EFT-01202581</t>
  </si>
  <si>
    <t>NY2371</t>
  </si>
  <si>
    <t>Montefiore New Rochelle Hospital</t>
  </si>
  <si>
    <t>EFT-01202664</t>
  </si>
  <si>
    <t>NY5078</t>
  </si>
  <si>
    <t>Montefiore Mount Vernon Hospital</t>
  </si>
  <si>
    <t>EFT-01202698</t>
  </si>
  <si>
    <t>EFT-01213899</t>
  </si>
  <si>
    <t>EFT-01213810</t>
  </si>
  <si>
    <t>EFT-01213803</t>
  </si>
  <si>
    <t>EFT-01214126</t>
  </si>
  <si>
    <t>EFT-01214004</t>
  </si>
  <si>
    <t>EFT-01214107</t>
  </si>
  <si>
    <t>EFT-01214103</t>
  </si>
  <si>
    <t>EFT-01225762</t>
  </si>
  <si>
    <t>EFT-01225686</t>
  </si>
  <si>
    <t>EFT-01225690</t>
  </si>
  <si>
    <t>EFT-01225818</t>
  </si>
  <si>
    <t>EFT-01225793</t>
  </si>
  <si>
    <t>EFT-01225791</t>
  </si>
  <si>
    <t>EFT-01225954</t>
  </si>
  <si>
    <t>Rebate Payment Date</t>
  </si>
  <si>
    <t>Total Rebate</t>
  </si>
  <si>
    <t>MMC</t>
  </si>
  <si>
    <t>MNR</t>
  </si>
  <si>
    <t>MMV</t>
  </si>
  <si>
    <t>Nyack</t>
  </si>
  <si>
    <t>SLC</t>
  </si>
  <si>
    <t>WPH</t>
  </si>
  <si>
    <t>Burke</t>
  </si>
  <si>
    <t>Irinotecan HCL PSR Rebate</t>
  </si>
  <si>
    <t>Generic Pharmaceuticals</t>
  </si>
  <si>
    <t>PPPH21XIR01</t>
  </si>
  <si>
    <t>Xiromed, LLC</t>
  </si>
  <si>
    <t>AA2286</t>
  </si>
  <si>
    <t>Pharmacy</t>
  </si>
  <si>
    <t>AFFILIATE</t>
  </si>
  <si>
    <t>WHITE PLAINS HOSPITAL CENTER</t>
  </si>
  <si>
    <t>631298</t>
  </si>
  <si>
    <t>ACURITY FKA GNYHA SERVICES, INC.</t>
  </si>
  <si>
    <t>NY5011</t>
  </si>
  <si>
    <t>Premier ProRx PSR</t>
  </si>
  <si>
    <t>Pharmaceutical</t>
  </si>
  <si>
    <t>PPPH18JHP01</t>
  </si>
  <si>
    <t>Endo USA, Inc.</t>
  </si>
  <si>
    <t>808429</t>
  </si>
  <si>
    <t>5% Product Rebate</t>
  </si>
  <si>
    <t>PPPH18PRA01</t>
  </si>
  <si>
    <t>Prasco Laboratories</t>
  </si>
  <si>
    <t>616222</t>
  </si>
  <si>
    <t>Member Commitment Rebate</t>
  </si>
  <si>
    <t>Brand and Generic Pharmaceutic</t>
  </si>
  <si>
    <t>PPPH21PFZ02</t>
  </si>
  <si>
    <t>Pfizer (Generic)</t>
  </si>
  <si>
    <t>790486</t>
  </si>
  <si>
    <t>Pharmacy Commitment Rebate</t>
  </si>
  <si>
    <t>PPPL24BAX04</t>
  </si>
  <si>
    <t>Baxter Healthcare Corporation</t>
  </si>
  <si>
    <t>657608</t>
  </si>
  <si>
    <t>Pharmacy Access Program</t>
  </si>
  <si>
    <t>PPPL24JHP01</t>
  </si>
  <si>
    <t>Product Tier Rebate</t>
  </si>
  <si>
    <t>PPPH18AME01</t>
  </si>
  <si>
    <t>Amerisource Health Services, L</t>
  </si>
  <si>
    <t>OH2735</t>
  </si>
  <si>
    <t>2% Member Product Specific Rebate</t>
  </si>
  <si>
    <t>PPPH21MTL01</t>
  </si>
  <si>
    <t>Meitheal Pharmaceuticals, Inc.</t>
  </si>
  <si>
    <t>801939</t>
  </si>
  <si>
    <t>Provayblue Package Rebate</t>
  </si>
  <si>
    <t>PPPL24ARL01</t>
  </si>
  <si>
    <t>American Regent, Inc.</t>
  </si>
  <si>
    <t>NY5001</t>
  </si>
  <si>
    <t>Verapamil ProRx Rebate</t>
  </si>
  <si>
    <t>PPPL24XLA02</t>
  </si>
  <si>
    <t>Exela Pharma Sciences, LLC</t>
  </si>
  <si>
    <t>742948</t>
  </si>
  <si>
    <t>Compliance Rebate</t>
  </si>
  <si>
    <t>PPPL24APP01</t>
  </si>
  <si>
    <t>Fresenius Kabi USA, LLC</t>
  </si>
  <si>
    <t>IL2250</t>
  </si>
  <si>
    <t>Ultomiris Rebate</t>
  </si>
  <si>
    <t>Brand Pharmaceuticals</t>
  </si>
  <si>
    <t>PPPH23ALX01</t>
  </si>
  <si>
    <t>Alexion Pharmaceuticals, Inc.</t>
  </si>
  <si>
    <t>644575</t>
  </si>
  <si>
    <t>ST. LUKE'S CORNWALL HOSPITAL - NEWBURGH CAMPUS</t>
  </si>
  <si>
    <t>607358</t>
  </si>
  <si>
    <t>MONTEFIORE NYACK HOSPITAL</t>
  </si>
  <si>
    <t>MONTEFIORE NEW ROCHELLE HOSPITAL</t>
  </si>
  <si>
    <t>Montefiore New Rochelle Hospital fka Sound Shore Health System</t>
  </si>
  <si>
    <t>MONTEFIORE MOUNT VERNON HOSPITAL</t>
  </si>
  <si>
    <t>Levetiracetam Compliance Rebate</t>
  </si>
  <si>
    <t>PPPH18WGC01</t>
  </si>
  <si>
    <t>WG Critical Care, LLC</t>
  </si>
  <si>
    <t>726964</t>
  </si>
  <si>
    <t>MONTEFIORE MEDICAL CENTER</t>
  </si>
  <si>
    <t>ProvideGX Program</t>
  </si>
  <si>
    <t>PPPGXFSK19</t>
  </si>
  <si>
    <t>MONTEFIORE MEDICAL CENTER - EINSTEIN DIV.</t>
  </si>
  <si>
    <t>NY2017</t>
  </si>
  <si>
    <t>NY2002</t>
  </si>
  <si>
    <t>MONTEFIORE SPECIALTY PHARMACY</t>
  </si>
  <si>
    <t>NY2407</t>
  </si>
  <si>
    <t>MONTEFIORE MEDICAL CENTER - WAKEFIELD DIVISION</t>
  </si>
  <si>
    <t>NY2153</t>
  </si>
  <si>
    <t>Autosub Rebate</t>
  </si>
  <si>
    <t>PPPH18HTG01</t>
  </si>
  <si>
    <t>Heritage Pharmaceuticals Inc.</t>
  </si>
  <si>
    <t>647256</t>
  </si>
  <si>
    <t>MONTEFIORE WESTCHESTER SQUARE CAMPUS</t>
  </si>
  <si>
    <t>729553</t>
  </si>
  <si>
    <t>BURKE REHABILITATION HOSPITAL</t>
  </si>
  <si>
    <t>635850</t>
  </si>
  <si>
    <t>Rebate Amount</t>
  </si>
  <si>
    <t>Sales Amount</t>
  </si>
  <si>
    <t>Quantity</t>
  </si>
  <si>
    <t>Rebate Program</t>
  </si>
  <si>
    <t>Contract Name</t>
  </si>
  <si>
    <t>Contract Number</t>
  </si>
  <si>
    <t>Supplier Name</t>
  </si>
  <si>
    <t>Supplier Entity Code</t>
  </si>
  <si>
    <t>Line of Business</t>
  </si>
  <si>
    <t>Facility Premier Relation</t>
  </si>
  <si>
    <t>Facility Name</t>
  </si>
  <si>
    <t>Facility Entity Code</t>
  </si>
  <si>
    <t>Top Parent Name</t>
  </si>
  <si>
    <t>Top Parent Entity Code</t>
  </si>
  <si>
    <t>Purchase Period End Date</t>
  </si>
  <si>
    <t>Purchase Period Begin Date</t>
  </si>
  <si>
    <t>Rebates Paid – General GPO &amp; Pharmacy</t>
  </si>
  <si>
    <t>Grand Total</t>
  </si>
  <si>
    <t>Sum of Rebate Amount</t>
  </si>
  <si>
    <t>Sum of Sales Amount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</si>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</sst>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&quot;$&quot;#,##0.00"/>
  </numFmts>
  <fonts count="4">
    <font>
      <sz val="11"/>
      <color theme="1"/>
      <name val="Aptos Narrow"/>
      <family val="2"/>
      <scheme val="minor"/>
    </font>
    <font>
      <sz val="11"/>
      <color rgb="FF242424"/>
      <name val="Inherit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4" fontId="1" fillId="2" borderId="3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8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168" fontId="0" fillId="0" borderId="5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2" fillId="0" borderId="0" xfId="1"/>
    <xf numFmtId="0" fontId="3" fillId="0" borderId="0" xfId="1" applyFont="1"/>
    <xf numFmtId="8" fontId="3" fillId="0" borderId="0" xfId="1" applyNumberFormat="1" applyFont="1"/>
    <xf numFmtId="38" fontId="3" fillId="0" borderId="0" xfId="1" applyNumberFormat="1" applyFont="1"/>
    <xf numFmtId="14" fontId="3" fillId="0" borderId="0" xfId="1" applyNumberFormat="1" applyFont="1"/>
    <xf numFmtId="8" fontId="2" fillId="0" borderId="0" xfId="1" applyNumberFormat="1"/>
    <xf numFmtId="38" fontId="2" fillId="0" borderId="0" xfId="1" applyNumberFormat="1"/>
    <xf numFmtId="14" fontId="2" fillId="0" borderId="0" xfId="1" applyNumberFormat="1"/>
    <xf numFmtId="0" fontId="2" fillId="0" borderId="0" xfId="1" applyAlignment="1">
      <alignment horizontal="left"/>
    </xf>
    <xf numFmtId="0" fontId="2" fillId="0" borderId="0" xfId="1" applyAlignment="1">
      <alignment horizontal="left" indent="1"/>
    </xf>
    <xf numFmtId="0" fontId="2" fillId="0" borderId="0" xfId="1" pivotButton="1"/>
    <xf numFmtId="168" fontId="0" fillId="0" borderId="0" xfId="0" applyNumberFormat="1"/>
  </cellXfs>
  <cellStyles count="2">
    <cellStyle name="Normal" xfId="0" builtinId="0"/>
    <cellStyle name="Normal 2" xfId="1" xr:uid="{227B917B-C1D2-4B57-99F7-24B1712166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Q%204%202025%20Premier%20-%20Rebates%20Pai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Taw" refreshedDate="46065.641555671296" createdVersion="8" refreshedVersion="8" minRefreshableVersion="3" recordCount="64" xr:uid="{46FA75B4-2B49-484D-94E9-DDC16CCE0E27}">
  <cacheSource type="worksheet">
    <worksheetSource ref="A3:S67" sheet="Rebates Paid – General GPO &amp; Ph" r:id="rId2"/>
  </cacheSource>
  <cacheFields count="19">
    <cacheField name="Rebate Payment Date" numFmtId="14">
      <sharedItems containsSemiMixedTypes="0" containsNonDate="0" containsDate="1" containsString="0" minDate="2025-10-30T00:00:00" maxDate="2025-12-30T00:00:00"/>
    </cacheField>
    <cacheField name="Purchase Period Begin Date" numFmtId="14">
      <sharedItems containsSemiMixedTypes="0" containsNonDate="0" containsDate="1" containsString="0" minDate="2025-01-01T00:00:00" maxDate="2025-10-02T00:00:00"/>
    </cacheField>
    <cacheField name="Purchase Period End Date" numFmtId="14">
      <sharedItems containsSemiMixedTypes="0" containsNonDate="0" containsDate="1" containsString="0" minDate="2025-03-31T00:00:00" maxDate="2025-11-01T00:00:00"/>
    </cacheField>
    <cacheField name="Payee Entity Code" numFmtId="0">
      <sharedItems/>
    </cacheField>
    <cacheField name="Payee Name" numFmtId="0">
      <sharedItems/>
    </cacheField>
    <cacheField name="Top Parent Entity Code" numFmtId="0">
      <sharedItems/>
    </cacheField>
    <cacheField name="Top Parent Name" numFmtId="0">
      <sharedItems/>
    </cacheField>
    <cacheField name="Facility Entity Code" numFmtId="0">
      <sharedItems/>
    </cacheField>
    <cacheField name="Facility Name" numFmtId="0">
      <sharedItems count="11">
        <s v="BURKE REHABILITATION HOSPITAL"/>
        <s v="MONTEFIORE MEDICAL CENTER - EINSTEIN DIV."/>
        <s v="MONTEFIORE WESTCHESTER SQUARE CAMPUS"/>
        <s v="MONTEFIORE MEDICAL CENTER"/>
        <s v="MONTEFIORE MEDICAL CENTER - WAKEFIELD DIVISION"/>
        <s v="MONTEFIORE SPECIALTY PHARMACY"/>
        <s v="MONTEFIORE MOUNT VERNON HOSPITAL"/>
        <s v="MONTEFIORE NEW ROCHELLE HOSPITAL"/>
        <s v="MONTEFIORE NYACK HOSPITAL"/>
        <s v="ST. LUKE'S CORNWALL HOSPITAL - NEWBURGH CAMPUS"/>
        <s v="WHITE PLAINS HOSPITAL CENTER"/>
      </sharedItems>
    </cacheField>
    <cacheField name="Facility Premier Relation" numFmtId="0">
      <sharedItems/>
    </cacheField>
    <cacheField name="Line of Business" numFmtId="0">
      <sharedItems/>
    </cacheField>
    <cacheField name="Supplier Entity Code" numFmtId="0">
      <sharedItems/>
    </cacheField>
    <cacheField name="Supplier Name" numFmtId="0">
      <sharedItems count="13">
        <s v="WG Critical Care, LLC"/>
        <s v="Fresenius Kabi USA, LLC"/>
        <s v="Pfizer (Generic)"/>
        <s v="Amerisource Health Services, L"/>
        <s v="Baxter Healthcare Corporation"/>
        <s v="Alexion Pharmaceuticals, Inc."/>
        <s v="Exela Pharma Sciences, LLC"/>
        <s v="Heritage Pharmaceuticals Inc."/>
        <s v="American Regent, Inc."/>
        <s v="Meitheal Pharmaceuticals, Inc."/>
        <s v="Endo USA, Inc."/>
        <s v="Prasco Laboratories"/>
        <s v="Xiromed, LLC"/>
      </sharedItems>
    </cacheField>
    <cacheField name="Contract Number" numFmtId="0">
      <sharedItems/>
    </cacheField>
    <cacheField name="Contract Name" numFmtId="0">
      <sharedItems/>
    </cacheField>
    <cacheField name="Rebate Program" numFmtId="0">
      <sharedItems/>
    </cacheField>
    <cacheField name="Quantity" numFmtId="38">
      <sharedItems containsSemiMixedTypes="0" containsString="0" containsNumber="1" containsInteger="1" minValue="1" maxValue="3915"/>
    </cacheField>
    <cacheField name="Sales Amount" numFmtId="8">
      <sharedItems containsSemiMixedTypes="0" containsString="0" containsNumber="1" minValue="7.1" maxValue="1514838.5"/>
    </cacheField>
    <cacheField name="Rebate Amount" numFmtId="8">
      <sharedItems containsSemiMixedTypes="0" containsString="0" containsNumber="1" minValue="0.28999999999999998" maxValue="87062.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5-12-29T00:00:00"/>
    <d v="2025-07-01T00:00:00"/>
    <d v="2025-09-30T00:00:00"/>
    <s v="635850"/>
    <s v="Burke Rehabilitation Hospital"/>
    <s v="NY5011"/>
    <s v="ACURITY FKA GNYHA SERVICES, INC."/>
    <s v="635850"/>
    <x v="0"/>
    <s v="AFFILIATE"/>
    <s v="Pharmacy"/>
    <s v="726964"/>
    <x v="0"/>
    <s v="PPPH18WGC01"/>
    <s v="Brand and Generic Pharmaceutic"/>
    <s v="Levetiracetam Compliance Rebate"/>
    <n v="2"/>
    <n v="123.6"/>
    <n v="12.36"/>
  </r>
  <r>
    <d v="2025-12-29T00:00:00"/>
    <d v="2025-07-01T00:00:00"/>
    <d v="2025-09-30T00:00:00"/>
    <s v="635850"/>
    <s v="Burke Rehabilitation Hospital"/>
    <s v="NY5011"/>
    <s v="ACURITY FKA GNYHA SERVICES, INC."/>
    <s v="635850"/>
    <x v="0"/>
    <s v="AFFILIATE"/>
    <s v="Pharmacy"/>
    <s v="IL2250"/>
    <x v="1"/>
    <s v="PPPL24APP01"/>
    <s v="Brand and Generic Pharmaceutic"/>
    <s v="Compliance Rebate"/>
    <n v="33"/>
    <n v="1995.42"/>
    <n v="119.29456"/>
  </r>
  <r>
    <d v="2025-12-02T00:00:00"/>
    <d v="2025-04-01T00:00:00"/>
    <d v="2025-06-30T00:00:00"/>
    <s v="635850"/>
    <s v="Burke Rehabilitation Hospital"/>
    <s v="NY5011"/>
    <s v="ACURITY FKA GNYHA SERVICES, INC."/>
    <s v="635850"/>
    <x v="0"/>
    <s v="AFFILIATE"/>
    <s v="Pharmacy"/>
    <s v="790486"/>
    <x v="2"/>
    <s v="PPPH21PFZ02"/>
    <s v="Brand and Generic Pharmaceutic"/>
    <s v="Member Commitment Rebate"/>
    <n v="26"/>
    <n v="965.81"/>
    <n v="43.52"/>
  </r>
  <r>
    <d v="2025-12-02T00:00:00"/>
    <d v="2025-07-01T00:00:00"/>
    <d v="2025-09-30T00:00:00"/>
    <s v="635850"/>
    <s v="Burke Rehabilitation Hospital"/>
    <s v="NY5011"/>
    <s v="ACURITY FKA GNYHA SERVICES, INC."/>
    <s v="635850"/>
    <x v="0"/>
    <s v="AFFILIATE"/>
    <s v="Pharmacy"/>
    <s v="OH2735"/>
    <x v="3"/>
    <s v="PPPH18AME01"/>
    <s v="Generic Pharmaceuticals"/>
    <s v="Product Tier Rebate"/>
    <n v="18"/>
    <n v="707.28"/>
    <n v="21.24"/>
  </r>
  <r>
    <d v="2025-10-30T00:00:00"/>
    <d v="2025-04-01T00:00:00"/>
    <d v="2025-06-30T00:00:00"/>
    <s v="635850"/>
    <s v="Burke Rehabilitation Hospital"/>
    <s v="NY5011"/>
    <s v="ACURITY FKA GNYHA SERVICES, INC."/>
    <s v="635850"/>
    <x v="0"/>
    <s v="AFFILIATE"/>
    <s v="Pharmacy"/>
    <s v="657608"/>
    <x v="4"/>
    <s v="PPPL24BAX04"/>
    <s v="Generic Pharmaceuticals"/>
    <s v="Pharmacy Commitment Rebate"/>
    <n v="10"/>
    <n v="7.1"/>
    <n v="0.71"/>
  </r>
  <r>
    <d v="2025-10-30T00:00:00"/>
    <d v="2025-04-01T00:00:00"/>
    <d v="2025-06-30T00:00:00"/>
    <s v="635850"/>
    <s v="Burke Rehabilitation Hospital"/>
    <s v="NY5011"/>
    <s v="ACURITY FKA GNYHA SERVICES, INC."/>
    <s v="635850"/>
    <x v="0"/>
    <s v="AFFILIATE"/>
    <s v="Pharmacy"/>
    <s v="790486"/>
    <x v="2"/>
    <s v="PPPH21PFZ02"/>
    <s v="Brand and Generic Pharmaceutic"/>
    <s v="Member Commitment Rebate"/>
    <n v="9"/>
    <n v="5168.67"/>
    <n v="61.1"/>
  </r>
  <r>
    <d v="2025-12-29T00:00:00"/>
    <d v="2025-01-01T00:00:00"/>
    <d v="2025-03-31T00:00:00"/>
    <s v="NY2020"/>
    <s v="Montefiore Medical Center"/>
    <s v="NY5011"/>
    <s v="ACURITY FKA GNYHA SERVICES, INC."/>
    <s v="NY2017"/>
    <x v="1"/>
    <s v="AFFILIATE"/>
    <s v="Pharmacy"/>
    <s v="IL2250"/>
    <x v="1"/>
    <s v="PPPGXFSK19"/>
    <s v="ProvideGX Program"/>
    <s v="Compliance Rebate"/>
    <n v="114"/>
    <n v="10685.2"/>
    <n v="186.99100000000001"/>
  </r>
  <r>
    <d v="2025-12-29T00:00:00"/>
    <d v="2025-07-01T00:00:00"/>
    <d v="2025-09-30T00:00:00"/>
    <s v="NY2020"/>
    <s v="Montefiore Medical Center"/>
    <s v="NY5011"/>
    <s v="ACURITY FKA GNYHA SERVICES, INC."/>
    <s v="729553"/>
    <x v="2"/>
    <s v="AFFILIATE"/>
    <s v="Pharmacy"/>
    <s v="IL2250"/>
    <x v="1"/>
    <s v="PPPL24APP01"/>
    <s v="Brand and Generic Pharmaceutic"/>
    <s v="Compliance Rebate"/>
    <n v="142"/>
    <n v="3919.45"/>
    <n v="483.31236999999999"/>
  </r>
  <r>
    <d v="2025-12-29T00:00:00"/>
    <d v="2025-07-01T00:00:00"/>
    <d v="2025-09-30T00:00:00"/>
    <s v="NY2020"/>
    <s v="Montefiore Medical Center"/>
    <s v="NY5011"/>
    <s v="ACURITY FKA GNYHA SERVICES, INC."/>
    <s v="NY2002"/>
    <x v="3"/>
    <s v="AFFILIATE"/>
    <s v="Pharmacy"/>
    <s v="644575"/>
    <x v="5"/>
    <s v="PPPH23ALX01"/>
    <s v="Brand Pharmaceuticals"/>
    <s v="Ultomiris Rebate"/>
    <n v="45"/>
    <n v="293535"/>
    <n v="5479.82"/>
  </r>
  <r>
    <d v="2025-12-29T00:00:00"/>
    <d v="2025-07-01T00:00:00"/>
    <d v="2025-09-30T00:00:00"/>
    <s v="NY2020"/>
    <s v="Montefiore Medical Center"/>
    <s v="NY5011"/>
    <s v="ACURITY FKA GNYHA SERVICES, INC."/>
    <s v="NY2002"/>
    <x v="3"/>
    <s v="AFFILIATE"/>
    <s v="Pharmacy"/>
    <s v="IL2250"/>
    <x v="1"/>
    <s v="PPPL24APP01"/>
    <s v="Brand and Generic Pharmaceutic"/>
    <s v="Compliance Rebate"/>
    <n v="2919"/>
    <n v="155204.20000000001"/>
    <n v="22165.29722"/>
  </r>
  <r>
    <d v="2025-12-29T00:00:00"/>
    <d v="2025-08-01T00:00:00"/>
    <d v="2025-08-31T00:00:00"/>
    <s v="NY2020"/>
    <s v="Montefiore Medical Center"/>
    <s v="NY5011"/>
    <s v="ACURITY FKA GNYHA SERVICES, INC."/>
    <s v="NY2002"/>
    <x v="3"/>
    <s v="AFFILIATE"/>
    <s v="Pharmacy"/>
    <s v="742948"/>
    <x v="6"/>
    <s v="PPPL24XLA02"/>
    <s v="Pharmacy Access Program"/>
    <s v="Verapamil ProRx Rebate"/>
    <n v="4"/>
    <n v="500"/>
    <n v="10"/>
  </r>
  <r>
    <d v="2025-12-29T00:00:00"/>
    <d v="2025-08-01T00:00:00"/>
    <d v="2025-08-31T00:00:00"/>
    <s v="NY2020"/>
    <s v="Montefiore Medical Center"/>
    <s v="NY5011"/>
    <s v="ACURITY FKA GNYHA SERVICES, INC."/>
    <s v="NY2153"/>
    <x v="4"/>
    <s v="AFFILIATE"/>
    <s v="Pharmacy"/>
    <s v="742948"/>
    <x v="6"/>
    <s v="PPPL24XLA02"/>
    <s v="Pharmacy Access Program"/>
    <s v="Verapamil ProRx Rebate"/>
    <n v="6"/>
    <n v="750"/>
    <n v="15"/>
  </r>
  <r>
    <d v="2025-12-29T00:00:00"/>
    <d v="2025-09-01T00:00:00"/>
    <d v="2025-09-30T00:00:00"/>
    <s v="NY2020"/>
    <s v="Montefiore Medical Center"/>
    <s v="NY5011"/>
    <s v="ACURITY FKA GNYHA SERVICES, INC."/>
    <s v="NY2002"/>
    <x v="3"/>
    <s v="AFFILIATE"/>
    <s v="Pharmacy"/>
    <s v="647256"/>
    <x v="7"/>
    <s v="PPPH18HTG01"/>
    <s v="Generic Pharmaceuticals"/>
    <s v="Autosub Rebate"/>
    <n v="17"/>
    <n v="306"/>
    <n v="12.24"/>
  </r>
  <r>
    <d v="2025-12-29T00:00:00"/>
    <d v="2025-09-01T00:00:00"/>
    <d v="2025-09-30T00:00:00"/>
    <s v="NY2020"/>
    <s v="Montefiore Medical Center"/>
    <s v="NY5011"/>
    <s v="ACURITY FKA GNYHA SERVICES, INC."/>
    <s v="NY2153"/>
    <x v="4"/>
    <s v="AFFILIATE"/>
    <s v="Pharmacy"/>
    <s v="742948"/>
    <x v="6"/>
    <s v="PPPL24XLA02"/>
    <s v="Pharmacy Access Program"/>
    <s v="Verapamil ProRx Rebate"/>
    <n v="2"/>
    <n v="250"/>
    <n v="5"/>
  </r>
  <r>
    <d v="2025-12-02T00:00:00"/>
    <d v="2025-06-01T00:00:00"/>
    <d v="2025-06-30T00:00:00"/>
    <s v="NY2020"/>
    <s v="Montefiore Medical Center"/>
    <s v="NY5011"/>
    <s v="ACURITY FKA GNYHA SERVICES, INC."/>
    <s v="NY2017"/>
    <x v="1"/>
    <s v="AFFILIATE"/>
    <s v="Pharmacy"/>
    <s v="NY5001"/>
    <x v="8"/>
    <s v="PPPL24ARL01"/>
    <s v="Pharmacy Access Program"/>
    <s v="Provayblue Package Rebate"/>
    <n v="100"/>
    <n v="880"/>
    <n v="44"/>
  </r>
  <r>
    <d v="2025-12-02T00:00:00"/>
    <d v="2025-07-01T00:00:00"/>
    <d v="2025-07-31T00:00:00"/>
    <s v="NY2020"/>
    <s v="Montefiore Medical Center"/>
    <s v="NY5011"/>
    <s v="ACURITY FKA GNYHA SERVICES, INC."/>
    <s v="NY2153"/>
    <x v="4"/>
    <s v="AFFILIATE"/>
    <s v="Pharmacy"/>
    <s v="742948"/>
    <x v="6"/>
    <s v="PPPL24XLA02"/>
    <s v="Pharmacy Access Program"/>
    <s v="Verapamil ProRx Rebate"/>
    <n v="4"/>
    <n v="500"/>
    <n v="10"/>
  </r>
  <r>
    <d v="2025-12-02T00:00:00"/>
    <d v="2025-07-01T00:00:00"/>
    <d v="2025-09-30T00:00:00"/>
    <s v="NY2020"/>
    <s v="Montefiore Medical Center"/>
    <s v="NY5011"/>
    <s v="ACURITY FKA GNYHA SERVICES, INC."/>
    <s v="NY2017"/>
    <x v="1"/>
    <s v="AFFILIATE"/>
    <s v="Pharmacy"/>
    <s v="801939"/>
    <x v="9"/>
    <s v="PPPH21MTL01"/>
    <s v="Pharmaceutical"/>
    <s v="2% Member Product Specific Rebate"/>
    <n v="1"/>
    <n v="43.75"/>
    <n v="0.88"/>
  </r>
  <r>
    <d v="2025-12-02T00:00:00"/>
    <d v="2025-07-01T00:00:00"/>
    <d v="2025-09-30T00:00:00"/>
    <s v="NY2020"/>
    <s v="Montefiore Medical Center"/>
    <s v="NY5011"/>
    <s v="ACURITY FKA GNYHA SERVICES, INC."/>
    <s v="NY2017"/>
    <x v="1"/>
    <s v="AFFILIATE"/>
    <s v="Pharmacy"/>
    <s v="OH2735"/>
    <x v="3"/>
    <s v="PPPH18AME01"/>
    <s v="Generic Pharmaceuticals"/>
    <s v="Product Tier Rebate"/>
    <n v="2"/>
    <n v="415.52"/>
    <n v="12.47"/>
  </r>
  <r>
    <d v="2025-12-02T00:00:00"/>
    <d v="2025-07-01T00:00:00"/>
    <d v="2025-09-30T00:00:00"/>
    <s v="NY2020"/>
    <s v="Montefiore Medical Center"/>
    <s v="NY5011"/>
    <s v="ACURITY FKA GNYHA SERVICES, INC."/>
    <s v="NY2407"/>
    <x v="5"/>
    <s v="AFFILIATE"/>
    <s v="Pharmacy"/>
    <s v="801939"/>
    <x v="9"/>
    <s v="PPPH21MTL01"/>
    <s v="Pharmaceutical"/>
    <s v="2% Member Product Specific Rebate"/>
    <n v="11"/>
    <n v="113.3"/>
    <n v="2.27"/>
  </r>
  <r>
    <d v="2025-12-02T00:00:00"/>
    <d v="2025-09-01T00:00:00"/>
    <d v="2025-09-30T00:00:00"/>
    <s v="NY2020"/>
    <s v="Montefiore Medical Center"/>
    <s v="NY5011"/>
    <s v="ACURITY FKA GNYHA SERVICES, INC."/>
    <s v="NY2002"/>
    <x v="3"/>
    <s v="AFFILIATE"/>
    <s v="Pharmacy"/>
    <s v="808429"/>
    <x v="10"/>
    <s v="PPPL24JHP01"/>
    <s v="Pharmacy Access Program"/>
    <s v="Premier ProRx PSR"/>
    <n v="4"/>
    <n v="113.12"/>
    <n v="11.311999999999999"/>
  </r>
  <r>
    <d v="2025-12-02T00:00:00"/>
    <d v="2025-09-01T00:00:00"/>
    <d v="2025-09-30T00:00:00"/>
    <s v="NY2020"/>
    <s v="Montefiore Medical Center"/>
    <s v="NY5011"/>
    <s v="ACURITY FKA GNYHA SERVICES, INC."/>
    <s v="NY2020"/>
    <x v="3"/>
    <s v="AFFILIATE"/>
    <s v="Pharmacy"/>
    <s v="616222"/>
    <x v="11"/>
    <s v="PPPH18PRA01"/>
    <s v="Generic Pharmaceuticals"/>
    <s v="5% Product Rebate"/>
    <n v="1"/>
    <n v="18.5"/>
    <n v="0.93"/>
  </r>
  <r>
    <d v="2025-10-30T00:00:00"/>
    <d v="2025-04-01T00:00:00"/>
    <d v="2025-06-30T00:00:00"/>
    <s v="NY2020"/>
    <s v="Montefiore Medical Center"/>
    <s v="NY5011"/>
    <s v="ACURITY FKA GNYHA SERVICES, INC."/>
    <s v="NY2002"/>
    <x v="3"/>
    <s v="AFFILIATE"/>
    <s v="Pharmacy"/>
    <s v="790486"/>
    <x v="2"/>
    <s v="PPPH21PFZ02"/>
    <s v="Brand and Generic Pharmaceutic"/>
    <s v="Member Commitment Rebate"/>
    <n v="2"/>
    <n v="3759.02"/>
    <n v="37.590000000000003"/>
  </r>
  <r>
    <d v="2025-10-30T00:00:00"/>
    <d v="2025-04-01T00:00:00"/>
    <d v="2025-06-30T00:00:00"/>
    <s v="NY2020"/>
    <s v="Montefiore Medical Center"/>
    <s v="NY5011"/>
    <s v="ACURITY FKA GNYHA SERVICES, INC."/>
    <s v="NY2017"/>
    <x v="1"/>
    <s v="AFFILIATE"/>
    <s v="Pharmacy"/>
    <s v="790486"/>
    <x v="2"/>
    <s v="PPPH21PFZ02"/>
    <s v="Brand and Generic Pharmaceutic"/>
    <s v="Member Commitment Rebate"/>
    <n v="4"/>
    <n v="4322.88"/>
    <n v="43.23"/>
  </r>
  <r>
    <d v="2025-10-30T00:00:00"/>
    <d v="2025-04-01T00:00:00"/>
    <d v="2025-06-30T00:00:00"/>
    <s v="NY2020"/>
    <s v="Montefiore Medical Center"/>
    <s v="NY5011"/>
    <s v="ACURITY FKA GNYHA SERVICES, INC."/>
    <s v="NY2017"/>
    <x v="1"/>
    <s v="AFFILIATE"/>
    <s v="Pharmacy"/>
    <s v="IL2250"/>
    <x v="1"/>
    <s v="PPPGXFSK19"/>
    <s v="ProvideGX Program"/>
    <s v="Compliance Rebate"/>
    <n v="114"/>
    <n v="9073.2000000000007"/>
    <n v="623.40275999999994"/>
  </r>
  <r>
    <d v="2025-10-30T00:00:00"/>
    <d v="2025-04-01T00:00:00"/>
    <d v="2025-06-30T00:00:00"/>
    <s v="NY2020"/>
    <s v="Montefiore Medical Center"/>
    <s v="NY5011"/>
    <s v="ACURITY FKA GNYHA SERVICES, INC."/>
    <s v="NY2020"/>
    <x v="3"/>
    <s v="AFFILIATE"/>
    <s v="Pharmacy"/>
    <s v="657608"/>
    <x v="4"/>
    <s v="PPPL24BAX04"/>
    <s v="Generic Pharmaceuticals"/>
    <s v="Pharmacy Commitment Rebate"/>
    <n v="985"/>
    <n v="9096.15"/>
    <n v="1812.3510000000001"/>
  </r>
  <r>
    <d v="2025-12-29T00:00:00"/>
    <d v="2025-07-01T00:00:00"/>
    <d v="2025-09-30T00:00:00"/>
    <s v="NY5078"/>
    <s v="Montefiore Mount Vernon Hospital"/>
    <s v="NY5011"/>
    <s v="ACURITY FKA GNYHA SERVICES, INC."/>
    <s v="NY5078"/>
    <x v="6"/>
    <s v="AFFILIATE"/>
    <s v="Pharmacy"/>
    <s v="726964"/>
    <x v="0"/>
    <s v="PPPH18WGC01"/>
    <s v="Brand and Generic Pharmaceutic"/>
    <s v="Levetiracetam Compliance Rebate"/>
    <n v="2"/>
    <n v="123.6"/>
    <n v="12.36"/>
  </r>
  <r>
    <d v="2025-12-29T00:00:00"/>
    <d v="2025-07-01T00:00:00"/>
    <d v="2025-09-30T00:00:00"/>
    <s v="NY5078"/>
    <s v="Montefiore Mount Vernon Hospital"/>
    <s v="NY5011"/>
    <s v="ACURITY FKA GNYHA SERVICES, INC."/>
    <s v="NY5078"/>
    <x v="6"/>
    <s v="AFFILIATE"/>
    <s v="Pharmacy"/>
    <s v="IL2250"/>
    <x v="1"/>
    <s v="PPPL24APP01"/>
    <s v="Brand and Generic Pharmaceutic"/>
    <s v="Compliance Rebate"/>
    <n v="46"/>
    <n v="1791.83"/>
    <n v="89.207430000000002"/>
  </r>
  <r>
    <d v="2025-12-02T00:00:00"/>
    <d v="2025-07-01T00:00:00"/>
    <d v="2025-09-30T00:00:00"/>
    <s v="NY5078"/>
    <s v="Montefiore Mount Vernon Hospital"/>
    <s v="NY5011"/>
    <s v="ACURITY FKA GNYHA SERVICES, INC."/>
    <s v="NY5078"/>
    <x v="6"/>
    <s v="AFFILIATE"/>
    <s v="Pharmacy"/>
    <s v="801939"/>
    <x v="9"/>
    <s v="PPPH21MTL01"/>
    <s v="Pharmaceutical"/>
    <s v="2% Member Product Specific Rebate"/>
    <n v="2"/>
    <n v="87.5"/>
    <n v="1.75"/>
  </r>
  <r>
    <d v="2025-10-30T00:00:00"/>
    <d v="2025-04-01T00:00:00"/>
    <d v="2025-06-30T00:00:00"/>
    <s v="NY5078"/>
    <s v="Montefiore Mount Vernon Hospital"/>
    <s v="NY5011"/>
    <s v="ACURITY FKA GNYHA SERVICES, INC."/>
    <s v="NY5078"/>
    <x v="6"/>
    <s v="AFFILIATE"/>
    <s v="Pharmacy"/>
    <s v="657608"/>
    <x v="4"/>
    <s v="PPPL24BAX04"/>
    <s v="Generic Pharmaceuticals"/>
    <s v="Pharmacy Commitment Rebate"/>
    <n v="80"/>
    <n v="56.8"/>
    <n v="6.39"/>
  </r>
  <r>
    <d v="2025-12-29T00:00:00"/>
    <d v="2025-09-01T00:00:00"/>
    <d v="2025-09-30T00:00:00"/>
    <s v="NY2371"/>
    <s v="Montefiore New Rochelle Hospital fka Sound Shore Health System"/>
    <s v="NY5011"/>
    <s v="ACURITY FKA GNYHA SERVICES, INC."/>
    <s v="NY2371"/>
    <x v="7"/>
    <s v="AFFILIATE"/>
    <s v="Pharmacy"/>
    <s v="742948"/>
    <x v="6"/>
    <s v="PPPL24XLA02"/>
    <s v="Pharmacy Access Program"/>
    <s v="Verapamil ProRx Rebate"/>
    <n v="2"/>
    <n v="250"/>
    <n v="5"/>
  </r>
  <r>
    <d v="2025-12-02T00:00:00"/>
    <d v="2025-04-01T00:00:00"/>
    <d v="2025-06-30T00:00:00"/>
    <s v="NY2371"/>
    <s v="Montefiore New Rochelle Hospital fka Sound Shore Health System"/>
    <s v="NY5011"/>
    <s v="ACURITY FKA GNYHA SERVICES, INC."/>
    <s v="NY2371"/>
    <x v="7"/>
    <s v="AFFILIATE"/>
    <s v="Pharmacy"/>
    <s v="790486"/>
    <x v="2"/>
    <s v="PPPH21PFZ02"/>
    <s v="Brand and Generic Pharmaceutic"/>
    <s v="Member Commitment Rebate"/>
    <n v="195"/>
    <n v="9792.3799999999992"/>
    <n v="1030.1300000000001"/>
  </r>
  <r>
    <d v="2025-12-02T00:00:00"/>
    <d v="2025-07-01T00:00:00"/>
    <d v="2025-09-30T00:00:00"/>
    <s v="NY2371"/>
    <s v="Montefiore New Rochelle Hospital fka Sound Shore Health System"/>
    <s v="NY5011"/>
    <s v="ACURITY FKA GNYHA SERVICES, INC."/>
    <s v="NY2371"/>
    <x v="7"/>
    <s v="AFFILIATE"/>
    <s v="Pharmacy"/>
    <s v="OH2735"/>
    <x v="3"/>
    <s v="PPPH18AME01"/>
    <s v="Generic Pharmaceuticals"/>
    <s v="Product Tier Rebate"/>
    <n v="2"/>
    <n v="196.74"/>
    <n v="5.9"/>
  </r>
  <r>
    <d v="2025-10-30T00:00:00"/>
    <d v="2025-04-01T00:00:00"/>
    <d v="2025-06-30T00:00:00"/>
    <s v="NY2371"/>
    <s v="Montefiore New Rochelle Hospital fka Sound Shore Health System"/>
    <s v="NY5011"/>
    <s v="ACURITY FKA GNYHA SERVICES, INC."/>
    <s v="NY2371"/>
    <x v="7"/>
    <s v="AFFILIATE"/>
    <s v="Pharmacy"/>
    <s v="657608"/>
    <x v="4"/>
    <s v="PPPL24BAX04"/>
    <s v="Generic Pharmaceuticals"/>
    <s v="Pharmacy Commitment Rebate"/>
    <n v="356"/>
    <n v="787.96"/>
    <n v="88.117999999999995"/>
  </r>
  <r>
    <d v="2025-10-30T00:00:00"/>
    <d v="2025-04-01T00:00:00"/>
    <d v="2025-06-30T00:00:00"/>
    <s v="NY2371"/>
    <s v="Montefiore New Rochelle Hospital fka Sound Shore Health System"/>
    <s v="NY5011"/>
    <s v="ACURITY FKA GNYHA SERVICES, INC."/>
    <s v="NY2371"/>
    <x v="7"/>
    <s v="AFFILIATE"/>
    <s v="Pharmacy"/>
    <s v="790486"/>
    <x v="2"/>
    <s v="PPPH21PFZ02"/>
    <s v="Brand and Generic Pharmaceutic"/>
    <s v="Member Commitment Rebate"/>
    <n v="5"/>
    <n v="2913.25"/>
    <n v="29.14"/>
  </r>
  <r>
    <d v="2025-12-29T00:00:00"/>
    <d v="2025-09-01T00:00:00"/>
    <d v="2025-09-30T00:00:00"/>
    <s v="NY2256"/>
    <s v="Montefiore Nyack Hospital"/>
    <s v="NY5011"/>
    <s v="ACURITY FKA GNYHA SERVICES, INC."/>
    <s v="NY2256"/>
    <x v="8"/>
    <s v="AFFILIATE"/>
    <s v="Pharmacy"/>
    <s v="742948"/>
    <x v="6"/>
    <s v="PPPL24XLA02"/>
    <s v="Pharmacy Access Program"/>
    <s v="Verapamil ProRx Rebate"/>
    <n v="3"/>
    <n v="375"/>
    <n v="7.5"/>
  </r>
  <r>
    <d v="2025-12-02T00:00:00"/>
    <d v="2025-04-01T00:00:00"/>
    <d v="2025-06-30T00:00:00"/>
    <s v="NY2256"/>
    <s v="Montefiore Nyack Hospital"/>
    <s v="NY5011"/>
    <s v="ACURITY FKA GNYHA SERVICES, INC."/>
    <s v="NY2256"/>
    <x v="8"/>
    <s v="AFFILIATE"/>
    <s v="Pharmacy"/>
    <s v="790486"/>
    <x v="2"/>
    <s v="PPPH21PFZ02"/>
    <s v="Brand and Generic Pharmaceutic"/>
    <s v="Member Commitment Rebate"/>
    <n v="422"/>
    <n v="16400.53"/>
    <n v="1015.89"/>
  </r>
  <r>
    <d v="2025-12-02T00:00:00"/>
    <d v="2025-07-01T00:00:00"/>
    <d v="2025-09-30T00:00:00"/>
    <s v="NY2256"/>
    <s v="Montefiore Nyack Hospital"/>
    <s v="NY5011"/>
    <s v="ACURITY FKA GNYHA SERVICES, INC."/>
    <s v="NY2256"/>
    <x v="8"/>
    <s v="AFFILIATE"/>
    <s v="Pharmacy"/>
    <s v="801939"/>
    <x v="9"/>
    <s v="PPPH21MTL01"/>
    <s v="Pharmaceutical"/>
    <s v="2% Member Product Specific Rebate"/>
    <n v="8"/>
    <n v="350"/>
    <n v="7.01"/>
  </r>
  <r>
    <d v="2025-12-02T00:00:00"/>
    <d v="2025-07-01T00:00:00"/>
    <d v="2025-09-30T00:00:00"/>
    <s v="NY2256"/>
    <s v="Montefiore Nyack Hospital"/>
    <s v="NY5011"/>
    <s v="ACURITY FKA GNYHA SERVICES, INC."/>
    <s v="NY2256"/>
    <x v="8"/>
    <s v="AFFILIATE"/>
    <s v="Pharmacy"/>
    <s v="OH2735"/>
    <x v="3"/>
    <s v="PPPH18AME01"/>
    <s v="Generic Pharmaceuticals"/>
    <s v="Product Tier Rebate"/>
    <n v="25"/>
    <n v="2535.75"/>
    <n v="76.09"/>
  </r>
  <r>
    <d v="2025-10-30T00:00:00"/>
    <d v="2025-04-01T00:00:00"/>
    <d v="2025-06-30T00:00:00"/>
    <s v="NY2256"/>
    <s v="Montefiore Nyack Hospital"/>
    <s v="NY5011"/>
    <s v="ACURITY FKA GNYHA SERVICES, INC."/>
    <s v="NY2256"/>
    <x v="8"/>
    <s v="AFFILIATE"/>
    <s v="Pharmacy"/>
    <s v="657608"/>
    <x v="4"/>
    <s v="PPPL24BAX04"/>
    <s v="Generic Pharmaceuticals"/>
    <s v="Pharmacy Commitment Rebate"/>
    <n v="308"/>
    <n v="433.72"/>
    <n v="32.335999999999999"/>
  </r>
  <r>
    <d v="2025-10-30T00:00:00"/>
    <d v="2025-07-01T00:00:00"/>
    <d v="2025-07-31T00:00:00"/>
    <s v="NY2256"/>
    <s v="Montefiore Nyack Hospital"/>
    <s v="NY5011"/>
    <s v="ACURITY FKA GNYHA SERVICES, INC."/>
    <s v="NY2256"/>
    <x v="8"/>
    <s v="AFFILIATE"/>
    <s v="Pharmacy"/>
    <s v="808429"/>
    <x v="10"/>
    <s v="PPPH18JHP01"/>
    <s v="Pharmaceutical"/>
    <s v="Premier ProRx PSR"/>
    <n v="12"/>
    <n v="844.44"/>
    <n v="84.444000000000003"/>
  </r>
  <r>
    <d v="2025-12-29T00:00:00"/>
    <d v="2025-07-01T00:00:00"/>
    <d v="2025-09-30T00:00:00"/>
    <s v="607358"/>
    <s v="St. Luke's Cornwall Hospital - Newburgh Campus"/>
    <s v="NY5011"/>
    <s v="ACURITY FKA GNYHA SERVICES, INC."/>
    <s v="607358"/>
    <x v="9"/>
    <s v="AFFILIATE"/>
    <s v="Pharmacy"/>
    <s v="IL2250"/>
    <x v="1"/>
    <s v="PPPL24APP01"/>
    <s v="Brand and Generic Pharmaceutic"/>
    <s v="Compliance Rebate"/>
    <n v="327"/>
    <n v="15802.2"/>
    <n v="758.68713000000002"/>
  </r>
  <r>
    <d v="2025-12-02T00:00:00"/>
    <d v="2025-07-01T00:00:00"/>
    <d v="2025-07-31T00:00:00"/>
    <s v="607358"/>
    <s v="St. Luke's Cornwall Hospital - Newburgh Campus"/>
    <s v="NY5011"/>
    <s v="ACURITY FKA GNYHA SERVICES, INC."/>
    <s v="607358"/>
    <x v="9"/>
    <s v="AFFILIATE"/>
    <s v="Pharmacy"/>
    <s v="742948"/>
    <x v="6"/>
    <s v="PPPL24XLA02"/>
    <s v="Pharmacy Access Program"/>
    <s v="Verapamil ProRx Rebate"/>
    <n v="1"/>
    <n v="125"/>
    <n v="2.5"/>
  </r>
  <r>
    <d v="2025-12-02T00:00:00"/>
    <d v="2025-07-01T00:00:00"/>
    <d v="2025-09-30T00:00:00"/>
    <s v="607358"/>
    <s v="St. Luke's Cornwall Hospital - Newburgh Campus"/>
    <s v="NY5011"/>
    <s v="ACURITY FKA GNYHA SERVICES, INC."/>
    <s v="607358"/>
    <x v="9"/>
    <s v="AFFILIATE"/>
    <s v="Pharmacy"/>
    <s v="OH2735"/>
    <x v="3"/>
    <s v="PPPH18AME01"/>
    <s v="Generic Pharmaceuticals"/>
    <s v="Product Tier Rebate"/>
    <n v="30"/>
    <n v="294.3"/>
    <n v="8.83"/>
  </r>
  <r>
    <d v="2025-10-30T00:00:00"/>
    <d v="2025-04-01T00:00:00"/>
    <d v="2025-06-30T00:00:00"/>
    <s v="607358"/>
    <s v="St. Luke's Cornwall Hospital - Newburgh Campus"/>
    <s v="NY5011"/>
    <s v="ACURITY FKA GNYHA SERVICES, INC."/>
    <s v="607358"/>
    <x v="9"/>
    <s v="AFFILIATE"/>
    <s v="Pharmacy"/>
    <s v="657608"/>
    <x v="4"/>
    <s v="PPPL24BAX04"/>
    <s v="Generic Pharmaceuticals"/>
    <s v="Pharmacy Commitment Rebate"/>
    <n v="134"/>
    <n v="899.16"/>
    <n v="97.016000000000005"/>
  </r>
  <r>
    <d v="2025-10-30T00:00:00"/>
    <d v="2025-04-01T00:00:00"/>
    <d v="2025-06-30T00:00:00"/>
    <s v="607358"/>
    <s v="St. Luke's Cornwall Hospital - Newburgh Campus"/>
    <s v="NY5011"/>
    <s v="ACURITY FKA GNYHA SERVICES, INC."/>
    <s v="607358"/>
    <x v="9"/>
    <s v="AFFILIATE"/>
    <s v="Pharmacy"/>
    <s v="790486"/>
    <x v="2"/>
    <s v="PPPH21PFZ02"/>
    <s v="Brand and Generic Pharmaceutic"/>
    <s v="Member Commitment Rebate"/>
    <n v="12"/>
    <n v="10525.3"/>
    <n v="152.28"/>
  </r>
  <r>
    <d v="2025-12-29T00:00:00"/>
    <d v="2025-07-01T00:00:00"/>
    <d v="2025-09-30T00:00:00"/>
    <s v="631298"/>
    <s v="White Plains Hospital Center"/>
    <s v="NY5011"/>
    <s v="ACURITY FKA GNYHA SERVICES, INC."/>
    <s v="631298"/>
    <x v="10"/>
    <s v="AFFILIATE"/>
    <s v="Pharmacy"/>
    <s v="644575"/>
    <x v="5"/>
    <s v="PPPH23ALX01"/>
    <s v="Brand Pharmaceuticals"/>
    <s v="Ultomiris Rebate"/>
    <n v="26"/>
    <n v="431117.28"/>
    <n v="0.28999999999999998"/>
  </r>
  <r>
    <d v="2025-12-29T00:00:00"/>
    <d v="2025-07-01T00:00:00"/>
    <d v="2025-09-30T00:00:00"/>
    <s v="631298"/>
    <s v="White Plains Hospital Center"/>
    <s v="NY5011"/>
    <s v="ACURITY FKA GNYHA SERVICES, INC."/>
    <s v="631298"/>
    <x v="10"/>
    <s v="AFFILIATE"/>
    <s v="Pharmacy"/>
    <s v="IL2250"/>
    <x v="1"/>
    <s v="PPPL24APP01"/>
    <s v="Brand and Generic Pharmaceutic"/>
    <s v="Compliance Rebate"/>
    <n v="3915"/>
    <n v="204643.82"/>
    <n v="15031.70808"/>
  </r>
  <r>
    <d v="2025-12-29T00:00:00"/>
    <d v="2025-08-01T00:00:00"/>
    <d v="2025-08-31T00:00:00"/>
    <s v="631298"/>
    <s v="White Plains Hospital Center"/>
    <s v="NY5011"/>
    <s v="ACURITY FKA GNYHA SERVICES, INC."/>
    <s v="631298"/>
    <x v="10"/>
    <s v="AFFILIATE"/>
    <s v="Pharmacy"/>
    <s v="742948"/>
    <x v="6"/>
    <s v="PPPL24XLA02"/>
    <s v="Pharmacy Access Program"/>
    <s v="Verapamil ProRx Rebate"/>
    <n v="1"/>
    <n v="125"/>
    <n v="2.5"/>
  </r>
  <r>
    <d v="2025-12-29T00:00:00"/>
    <d v="2025-08-01T00:00:00"/>
    <d v="2025-08-31T00:00:00"/>
    <s v="631298"/>
    <s v="White Plains Hospital Center"/>
    <s v="NY5011"/>
    <s v="ACURITY FKA GNYHA SERVICES, INC."/>
    <s v="631298"/>
    <x v="10"/>
    <s v="AFFILIATE"/>
    <s v="Pharmacy"/>
    <s v="NY5001"/>
    <x v="8"/>
    <s v="PPPL24ARL01"/>
    <s v="Pharmacy Access Program"/>
    <s v="Provayblue Package Rebate"/>
    <n v="200"/>
    <n v="1760"/>
    <n v="88"/>
  </r>
  <r>
    <d v="2025-12-29T00:00:00"/>
    <d v="2025-10-01T00:00:00"/>
    <d v="2025-10-31T00:00:00"/>
    <s v="631298"/>
    <s v="White Plains Hospital Center"/>
    <s v="NY5011"/>
    <s v="ACURITY FKA GNYHA SERVICES, INC."/>
    <s v="631298"/>
    <x v="10"/>
    <s v="AFFILIATE"/>
    <s v="Pharmacy"/>
    <s v="616222"/>
    <x v="11"/>
    <s v="PPPH18PRA01"/>
    <s v="Generic Pharmaceuticals"/>
    <s v="5% Product Rebate"/>
    <n v="40"/>
    <n v="4197.63"/>
    <n v="276.43"/>
  </r>
  <r>
    <d v="2025-12-29T00:00:00"/>
    <d v="2025-10-01T00:00:00"/>
    <d v="2025-10-31T00:00:00"/>
    <s v="631298"/>
    <s v="White Plains Hospital Center"/>
    <s v="NY5011"/>
    <s v="ACURITY FKA GNYHA SERVICES, INC."/>
    <s v="631298"/>
    <x v="10"/>
    <s v="AFFILIATE"/>
    <s v="Pharmacy"/>
    <s v="AA2286"/>
    <x v="12"/>
    <s v="PPPH21XIR01"/>
    <s v="Generic Pharmaceuticals"/>
    <s v="Irinotecan HCL PSR Rebate"/>
    <n v="100"/>
    <n v="730"/>
    <n v="36.5"/>
  </r>
  <r>
    <d v="2025-12-02T00:00:00"/>
    <d v="2025-04-01T00:00:00"/>
    <d v="2025-04-30T00:00:00"/>
    <s v="631298"/>
    <s v="White Plains Hospital Center"/>
    <s v="NY5011"/>
    <s v="ACURITY FKA GNYHA SERVICES, INC."/>
    <s v="631298"/>
    <x v="10"/>
    <s v="AFFILIATE"/>
    <s v="Pharmacy"/>
    <s v="NY5001"/>
    <x v="8"/>
    <s v="PPPL24ARL01"/>
    <s v="Pharmacy Access Program"/>
    <s v="Provayblue Package Rebate"/>
    <n v="350"/>
    <n v="3500"/>
    <n v="175"/>
  </r>
  <r>
    <d v="2025-12-02T00:00:00"/>
    <d v="2025-06-01T00:00:00"/>
    <d v="2025-06-30T00:00:00"/>
    <s v="631298"/>
    <s v="White Plains Hospital Center"/>
    <s v="NY5011"/>
    <s v="ACURITY FKA GNYHA SERVICES, INC."/>
    <s v="631298"/>
    <x v="10"/>
    <s v="AFFILIATE"/>
    <s v="Pharmacy"/>
    <s v="NY5001"/>
    <x v="8"/>
    <s v="PPPL24ARL01"/>
    <s v="Pharmacy Access Program"/>
    <s v="Provayblue Package Rebate"/>
    <n v="400"/>
    <n v="3520"/>
    <n v="176"/>
  </r>
  <r>
    <d v="2025-12-02T00:00:00"/>
    <d v="2025-07-01T00:00:00"/>
    <d v="2025-09-30T00:00:00"/>
    <s v="631298"/>
    <s v="White Plains Hospital Center"/>
    <s v="NY5011"/>
    <s v="ACURITY FKA GNYHA SERVICES, INC."/>
    <s v="631298"/>
    <x v="10"/>
    <s v="AFFILIATE"/>
    <s v="Pharmacy"/>
    <s v="801939"/>
    <x v="9"/>
    <s v="PPPH21MTL01"/>
    <s v="Pharmaceutical"/>
    <s v="2% Member Product Specific Rebate"/>
    <n v="256"/>
    <n v="4481.8"/>
    <n v="89.66"/>
  </r>
  <r>
    <d v="2025-12-02T00:00:00"/>
    <d v="2025-07-01T00:00:00"/>
    <d v="2025-09-30T00:00:00"/>
    <s v="631298"/>
    <s v="White Plains Hospital Center"/>
    <s v="NY5011"/>
    <s v="ACURITY FKA GNYHA SERVICES, INC."/>
    <s v="631298"/>
    <x v="10"/>
    <s v="AFFILIATE"/>
    <s v="Pharmacy"/>
    <s v="OH2735"/>
    <x v="3"/>
    <s v="PPPH18AME01"/>
    <s v="Generic Pharmaceuticals"/>
    <s v="Product Tier Rebate"/>
    <n v="270"/>
    <n v="7093.89"/>
    <n v="212.86"/>
  </r>
  <r>
    <d v="2025-12-02T00:00:00"/>
    <d v="2025-09-01T00:00:00"/>
    <d v="2025-09-30T00:00:00"/>
    <s v="631298"/>
    <s v="White Plains Hospital Center"/>
    <s v="NY5011"/>
    <s v="ACURITY FKA GNYHA SERVICES, INC."/>
    <s v="631298"/>
    <x v="10"/>
    <s v="AFFILIATE"/>
    <s v="Pharmacy"/>
    <s v="616222"/>
    <x v="11"/>
    <s v="PPPH18PRA01"/>
    <s v="Generic Pharmaceuticals"/>
    <s v="5% Product Rebate"/>
    <n v="39"/>
    <n v="4007.31"/>
    <n v="200.37"/>
  </r>
  <r>
    <d v="2025-12-02T00:00:00"/>
    <d v="2025-09-01T00:00:00"/>
    <d v="2025-09-30T00:00:00"/>
    <s v="631298"/>
    <s v="White Plains Hospital Center"/>
    <s v="NY5011"/>
    <s v="ACURITY FKA GNYHA SERVICES, INC."/>
    <s v="631298"/>
    <x v="10"/>
    <s v="AFFILIATE"/>
    <s v="Pharmacy"/>
    <s v="808429"/>
    <x v="10"/>
    <s v="PPPL24JHP01"/>
    <s v="Pharmacy Access Program"/>
    <s v="Premier ProRx PSR"/>
    <n v="11"/>
    <n v="774.07"/>
    <n v="154.81399999999999"/>
  </r>
  <r>
    <d v="2025-12-02T00:00:00"/>
    <d v="2025-09-01T00:00:00"/>
    <d v="2025-09-30T00:00:00"/>
    <s v="631298"/>
    <s v="White Plains Hospital Center"/>
    <s v="NY5011"/>
    <s v="ACURITY FKA GNYHA SERVICES, INC."/>
    <s v="631298"/>
    <x v="10"/>
    <s v="AFFILIATE"/>
    <s v="Pharmacy"/>
    <s v="AA2286"/>
    <x v="12"/>
    <s v="PPPH21XIR01"/>
    <s v="Generic Pharmaceuticals"/>
    <s v="Irinotecan HCL PSR Rebate"/>
    <n v="77"/>
    <n v="562.1"/>
    <n v="28.12"/>
  </r>
  <r>
    <d v="2025-10-30T00:00:00"/>
    <d v="2025-04-01T00:00:00"/>
    <d v="2025-06-30T00:00:00"/>
    <s v="631298"/>
    <s v="White Plains Hospital Center"/>
    <s v="NY5011"/>
    <s v="ACURITY FKA GNYHA SERVICES, INC."/>
    <s v="631298"/>
    <x v="10"/>
    <s v="AFFILIATE"/>
    <s v="Pharmacy"/>
    <s v="657608"/>
    <x v="4"/>
    <s v="PPPL24BAX04"/>
    <s v="Generic Pharmaceuticals"/>
    <s v="Pharmacy Commitment Rebate"/>
    <n v="133"/>
    <n v="2762.51"/>
    <n v="467.58150000000001"/>
  </r>
  <r>
    <d v="2025-10-30T00:00:00"/>
    <d v="2025-04-01T00:00:00"/>
    <d v="2025-06-30T00:00:00"/>
    <s v="631298"/>
    <s v="White Plains Hospital Center"/>
    <s v="NY5011"/>
    <s v="ACURITY FKA GNYHA SERVICES, INC."/>
    <s v="631298"/>
    <x v="10"/>
    <s v="AFFILIATE"/>
    <s v="Pharmacy"/>
    <s v="790486"/>
    <x v="2"/>
    <s v="PPPH21PFZ02"/>
    <s v="Brand and Generic Pharmaceutic"/>
    <s v="Member Commitment Rebate"/>
    <n v="1019"/>
    <n v="1514838.5"/>
    <n v="87062.84"/>
  </r>
  <r>
    <d v="2025-10-30T00:00:00"/>
    <d v="2025-07-01T00:00:00"/>
    <d v="2025-07-31T00:00:00"/>
    <s v="631298"/>
    <s v="White Plains Hospital Center"/>
    <s v="NY5011"/>
    <s v="ACURITY FKA GNYHA SERVICES, INC."/>
    <s v="631298"/>
    <x v="10"/>
    <s v="AFFILIATE"/>
    <s v="Pharmacy"/>
    <s v="808429"/>
    <x v="10"/>
    <s v="PPPH18JHP01"/>
    <s v="Pharmaceutical"/>
    <s v="Premier ProRx PSR"/>
    <n v="16"/>
    <n v="1125.92"/>
    <n v="112.592"/>
  </r>
  <r>
    <d v="2025-10-30T00:00:00"/>
    <d v="2025-08-01T00:00:00"/>
    <d v="2025-08-31T00:00:00"/>
    <s v="631298"/>
    <s v="White Plains Hospital Center"/>
    <s v="NY5011"/>
    <s v="ACURITY FKA GNYHA SERVICES, INC."/>
    <s v="631298"/>
    <x v="10"/>
    <s v="AFFILIATE"/>
    <s v="Pharmacy"/>
    <s v="616222"/>
    <x v="11"/>
    <s v="PPPH18PRA01"/>
    <s v="Generic Pharmaceuticals"/>
    <s v="5% Product Rebate"/>
    <n v="41"/>
    <n v="4041.46"/>
    <n v="202.08"/>
  </r>
  <r>
    <d v="2025-10-30T00:00:00"/>
    <d v="2025-08-01T00:00:00"/>
    <d v="2025-08-31T00:00:00"/>
    <s v="631298"/>
    <s v="White Plains Hospital Center"/>
    <s v="NY5011"/>
    <s v="ACURITY FKA GNYHA SERVICES, INC."/>
    <s v="631298"/>
    <x v="10"/>
    <s v="AFFILIATE"/>
    <s v="Pharmacy"/>
    <s v="808429"/>
    <x v="10"/>
    <s v="PPPH18JHP01"/>
    <s v="Pharmaceutical"/>
    <s v="Premier ProRx PSR"/>
    <n v="15"/>
    <n v="1055.55"/>
    <n v="105.55500000000001"/>
  </r>
  <r>
    <d v="2025-10-30T00:00:00"/>
    <d v="2025-08-01T00:00:00"/>
    <d v="2025-08-31T00:00:00"/>
    <s v="631298"/>
    <s v="White Plains Hospital Center"/>
    <s v="NY5011"/>
    <s v="ACURITY FKA GNYHA SERVICES, INC."/>
    <s v="631298"/>
    <x v="10"/>
    <s v="AFFILIATE"/>
    <s v="Pharmacy"/>
    <s v="AA2286"/>
    <x v="12"/>
    <s v="PPPH21XIR01"/>
    <s v="Generic Pharmaceuticals"/>
    <s v="Irinotecan HCL PSR Rebate"/>
    <n v="65"/>
    <n v="474.5"/>
    <n v="27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E8C27-A3E9-4894-919F-2389BE9E9BB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D69" firstHeaderRow="0" firstDataRow="1" firstDataCol="1"/>
  <pivotFields count="19"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12">
        <item x="0"/>
        <item x="3"/>
        <item x="1"/>
        <item x="4"/>
        <item x="6"/>
        <item x="7"/>
        <item x="8"/>
        <item x="5"/>
        <item x="2"/>
        <item x="9"/>
        <item x="10"/>
        <item t="default"/>
      </items>
    </pivotField>
    <pivotField showAll="0"/>
    <pivotField showAll="0"/>
    <pivotField showAll="0"/>
    <pivotField axis="axisRow" showAll="0">
      <items count="14">
        <item x="5"/>
        <item x="8"/>
        <item x="3"/>
        <item x="4"/>
        <item x="10"/>
        <item x="6"/>
        <item x="1"/>
        <item x="7"/>
        <item x="9"/>
        <item x="2"/>
        <item x="11"/>
        <item x="0"/>
        <item x="12"/>
        <item t="default"/>
      </items>
    </pivotField>
    <pivotField showAll="0"/>
    <pivotField showAll="0"/>
    <pivotField showAll="0"/>
    <pivotField numFmtId="38" showAll="0"/>
    <pivotField dataField="1" numFmtId="8" showAll="0"/>
    <pivotField dataField="1" numFmtId="8" showAll="0"/>
  </pivotFields>
  <rowFields count="2">
    <field x="8"/>
    <field x="12"/>
  </rowFields>
  <rowItems count="63">
    <i>
      <x/>
    </i>
    <i r="1">
      <x v="2"/>
    </i>
    <i r="1">
      <x v="3"/>
    </i>
    <i r="1">
      <x v="6"/>
    </i>
    <i r="1">
      <x v="9"/>
    </i>
    <i r="1">
      <x v="11"/>
    </i>
    <i>
      <x v="1"/>
    </i>
    <i r="1"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>
      <x v="2"/>
    </i>
    <i r="1">
      <x v="1"/>
    </i>
    <i r="1">
      <x v="2"/>
    </i>
    <i r="1">
      <x v="6"/>
    </i>
    <i r="1">
      <x v="8"/>
    </i>
    <i r="1">
      <x v="9"/>
    </i>
    <i>
      <x v="3"/>
    </i>
    <i r="1">
      <x v="5"/>
    </i>
    <i>
      <x v="4"/>
    </i>
    <i r="1">
      <x v="3"/>
    </i>
    <i r="1">
      <x v="6"/>
    </i>
    <i r="1">
      <x v="8"/>
    </i>
    <i r="1">
      <x v="11"/>
    </i>
    <i>
      <x v="5"/>
    </i>
    <i r="1">
      <x v="2"/>
    </i>
    <i r="1">
      <x v="3"/>
    </i>
    <i r="1">
      <x v="5"/>
    </i>
    <i r="1">
      <x v="9"/>
    </i>
    <i>
      <x v="6"/>
    </i>
    <i r="1">
      <x v="2"/>
    </i>
    <i r="1">
      <x v="3"/>
    </i>
    <i r="1">
      <x v="4"/>
    </i>
    <i r="1">
      <x v="5"/>
    </i>
    <i r="1">
      <x v="8"/>
    </i>
    <i r="1">
      <x v="9"/>
    </i>
    <i>
      <x v="7"/>
    </i>
    <i r="1">
      <x v="8"/>
    </i>
    <i>
      <x v="8"/>
    </i>
    <i r="1">
      <x v="6"/>
    </i>
    <i>
      <x v="9"/>
    </i>
    <i r="1">
      <x v="2"/>
    </i>
    <i r="1">
      <x v="3"/>
    </i>
    <i r="1">
      <x v="5"/>
    </i>
    <i r="1">
      <x v="6"/>
    </i>
    <i r="1">
      <x v="9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17" baseField="0" baseItem="0" numFmtId="8"/>
    <dataField name="Sum of Rebate Amount" fld="18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C757-C7D9-4F19-B4CC-F5AA35D21A9E}">
  <dimension ref="A1:F31"/>
  <sheetViews>
    <sheetView tabSelected="1" workbookViewId="0">
      <selection activeCell="F32" sqref="F32"/>
    </sheetView>
  </sheetViews>
  <sheetFormatPr defaultRowHeight="15"/>
  <cols>
    <col min="1" max="3" width="31.7109375" customWidth="1"/>
    <col min="4" max="4" width="31.7109375" style="7" customWidth="1"/>
    <col min="5" max="5" width="31.7109375" customWidth="1"/>
  </cols>
  <sheetData>
    <row r="1" spans="1:5" ht="15.75" thickBot="1">
      <c r="A1" s="1" t="s">
        <v>35</v>
      </c>
      <c r="B1" s="2" t="s">
        <v>0</v>
      </c>
      <c r="C1" s="2" t="s">
        <v>1</v>
      </c>
      <c r="D1" s="6" t="s">
        <v>36</v>
      </c>
      <c r="E1" s="2" t="s">
        <v>2</v>
      </c>
    </row>
    <row r="2" spans="1:5" ht="15.75" thickBot="1">
      <c r="A2" s="3">
        <v>45960</v>
      </c>
      <c r="B2" s="4">
        <v>635850</v>
      </c>
      <c r="C2" s="4" t="s">
        <v>7</v>
      </c>
      <c r="D2" s="8">
        <v>61.81</v>
      </c>
      <c r="E2" s="4" t="s">
        <v>8</v>
      </c>
    </row>
    <row r="3" spans="1:5" ht="15.75" thickBot="1">
      <c r="A3" s="3">
        <v>45993</v>
      </c>
      <c r="B3" s="4">
        <v>635850</v>
      </c>
      <c r="C3" s="4" t="s">
        <v>7</v>
      </c>
      <c r="D3" s="8">
        <v>64.760000000000005</v>
      </c>
      <c r="E3" s="4" t="s">
        <v>23</v>
      </c>
    </row>
    <row r="4" spans="1:5" ht="15.75" thickBot="1">
      <c r="A4" s="3">
        <v>46020</v>
      </c>
      <c r="B4" s="4">
        <v>635850</v>
      </c>
      <c r="C4" s="4" t="s">
        <v>7</v>
      </c>
      <c r="D4" s="8">
        <v>131.65</v>
      </c>
      <c r="E4" s="4" t="s">
        <v>30</v>
      </c>
    </row>
    <row r="5" spans="1:5" ht="15.75" thickBot="1">
      <c r="A5" s="3">
        <v>45960</v>
      </c>
      <c r="B5" s="4" t="s">
        <v>9</v>
      </c>
      <c r="C5" s="4" t="s">
        <v>10</v>
      </c>
      <c r="D5" s="8">
        <v>2516.5700000000002</v>
      </c>
      <c r="E5" s="4" t="s">
        <v>11</v>
      </c>
    </row>
    <row r="6" spans="1:5" ht="15.75" thickBot="1">
      <c r="A6" s="3">
        <v>45993</v>
      </c>
      <c r="B6" s="4" t="s">
        <v>9</v>
      </c>
      <c r="C6" s="4" t="s">
        <v>10</v>
      </c>
      <c r="D6" s="8">
        <v>81.86</v>
      </c>
      <c r="E6" s="4" t="s">
        <v>24</v>
      </c>
    </row>
    <row r="7" spans="1:5" ht="15.75" thickBot="1">
      <c r="A7" s="3">
        <v>46020</v>
      </c>
      <c r="B7" s="4" t="s">
        <v>9</v>
      </c>
      <c r="C7" s="4" t="s">
        <v>10</v>
      </c>
      <c r="D7" s="8">
        <v>28256.12</v>
      </c>
      <c r="E7" s="4" t="s">
        <v>31</v>
      </c>
    </row>
    <row r="8" spans="1:5" ht="29.25" thickBot="1">
      <c r="A8" s="3">
        <v>45960</v>
      </c>
      <c r="B8" s="4" t="s">
        <v>18</v>
      </c>
      <c r="C8" s="4" t="s">
        <v>19</v>
      </c>
      <c r="D8" s="8">
        <v>6.39</v>
      </c>
      <c r="E8" s="4" t="s">
        <v>20</v>
      </c>
    </row>
    <row r="9" spans="1:5" ht="29.25" thickBot="1">
      <c r="A9" s="3">
        <v>45993</v>
      </c>
      <c r="B9" s="4" t="s">
        <v>18</v>
      </c>
      <c r="C9" s="4" t="s">
        <v>19</v>
      </c>
      <c r="D9" s="8">
        <v>1.75</v>
      </c>
      <c r="E9" s="4" t="s">
        <v>27</v>
      </c>
    </row>
    <row r="10" spans="1:5" ht="29.25" thickBot="1">
      <c r="A10" s="3">
        <v>46020</v>
      </c>
      <c r="B10" s="4" t="s">
        <v>18</v>
      </c>
      <c r="C10" s="4" t="s">
        <v>19</v>
      </c>
      <c r="D10" s="8">
        <v>101.57</v>
      </c>
      <c r="E10" s="4" t="s">
        <v>34</v>
      </c>
    </row>
    <row r="11" spans="1:5" ht="29.25" thickBot="1">
      <c r="A11" s="3">
        <v>45960</v>
      </c>
      <c r="B11" s="4" t="s">
        <v>15</v>
      </c>
      <c r="C11" s="4" t="s">
        <v>16</v>
      </c>
      <c r="D11" s="8">
        <v>117.26</v>
      </c>
      <c r="E11" s="4" t="s">
        <v>17</v>
      </c>
    </row>
    <row r="12" spans="1:5" ht="29.25" thickBot="1">
      <c r="A12" s="3">
        <v>45993</v>
      </c>
      <c r="B12" s="4" t="s">
        <v>15</v>
      </c>
      <c r="C12" s="4" t="s">
        <v>16</v>
      </c>
      <c r="D12" s="8">
        <v>1036.03</v>
      </c>
      <c r="E12" s="4" t="s">
        <v>26</v>
      </c>
    </row>
    <row r="13" spans="1:5" ht="29.25" thickBot="1">
      <c r="A13" s="3">
        <v>46020</v>
      </c>
      <c r="B13" s="4" t="s">
        <v>15</v>
      </c>
      <c r="C13" s="4" t="s">
        <v>16</v>
      </c>
      <c r="D13" s="8">
        <v>5</v>
      </c>
      <c r="E13" s="4" t="s">
        <v>33</v>
      </c>
    </row>
    <row r="14" spans="1:5" ht="15.75" thickBot="1">
      <c r="A14" s="3">
        <v>45960</v>
      </c>
      <c r="B14" s="4" t="s">
        <v>12</v>
      </c>
      <c r="C14" s="4" t="s">
        <v>13</v>
      </c>
      <c r="D14" s="8">
        <v>116.78</v>
      </c>
      <c r="E14" s="4" t="s">
        <v>14</v>
      </c>
    </row>
    <row r="15" spans="1:5" ht="15.75" thickBot="1">
      <c r="A15" s="3">
        <v>45993</v>
      </c>
      <c r="B15" s="4" t="s">
        <v>12</v>
      </c>
      <c r="C15" s="4" t="s">
        <v>13</v>
      </c>
      <c r="D15" s="8">
        <v>1098.99</v>
      </c>
      <c r="E15" s="4" t="s">
        <v>25</v>
      </c>
    </row>
    <row r="16" spans="1:5" ht="15.75" thickBot="1">
      <c r="A16" s="3">
        <v>46020</v>
      </c>
      <c r="B16" s="4" t="s">
        <v>12</v>
      </c>
      <c r="C16" s="4" t="s">
        <v>13</v>
      </c>
      <c r="D16" s="8">
        <v>7.5</v>
      </c>
      <c r="E16" s="4" t="s">
        <v>32</v>
      </c>
    </row>
    <row r="17" spans="1:6" ht="29.25" thickBot="1">
      <c r="A17" s="3">
        <v>45960</v>
      </c>
      <c r="B17" s="4">
        <v>607358</v>
      </c>
      <c r="C17" s="4" t="s">
        <v>3</v>
      </c>
      <c r="D17" s="8">
        <v>249.3</v>
      </c>
      <c r="E17" s="4" t="s">
        <v>4</v>
      </c>
    </row>
    <row r="18" spans="1:6" ht="29.25" thickBot="1">
      <c r="A18" s="3">
        <v>45993</v>
      </c>
      <c r="B18" s="4">
        <v>607358</v>
      </c>
      <c r="C18" s="4" t="s">
        <v>3</v>
      </c>
      <c r="D18" s="8">
        <v>11.33</v>
      </c>
      <c r="E18" s="4" t="s">
        <v>21</v>
      </c>
    </row>
    <row r="19" spans="1:6" ht="29.25" thickBot="1">
      <c r="A19" s="3">
        <v>46020</v>
      </c>
      <c r="B19" s="4">
        <v>607358</v>
      </c>
      <c r="C19" s="4" t="s">
        <v>3</v>
      </c>
      <c r="D19" s="8">
        <v>758.69</v>
      </c>
      <c r="E19" s="4" t="s">
        <v>28</v>
      </c>
    </row>
    <row r="20" spans="1:6" ht="15.75" thickBot="1">
      <c r="A20" s="3">
        <v>45960</v>
      </c>
      <c r="B20" s="4">
        <v>631298</v>
      </c>
      <c r="C20" s="4" t="s">
        <v>5</v>
      </c>
      <c r="D20" s="8">
        <v>87978.02</v>
      </c>
      <c r="E20" s="4" t="s">
        <v>6</v>
      </c>
    </row>
    <row r="21" spans="1:6" ht="15.75" thickBot="1">
      <c r="A21" s="3">
        <v>45993</v>
      </c>
      <c r="B21" s="4">
        <v>631298</v>
      </c>
      <c r="C21" s="4" t="s">
        <v>5</v>
      </c>
      <c r="D21" s="8">
        <v>1036.82</v>
      </c>
      <c r="E21" s="4" t="s">
        <v>22</v>
      </c>
    </row>
    <row r="22" spans="1:6" ht="15.75" thickBot="1">
      <c r="A22" s="3">
        <v>46020</v>
      </c>
      <c r="B22" s="4">
        <v>631298</v>
      </c>
      <c r="C22" s="4" t="s">
        <v>5</v>
      </c>
      <c r="D22" s="8">
        <v>15435.43</v>
      </c>
      <c r="E22" s="4" t="s">
        <v>29</v>
      </c>
    </row>
    <row r="23" spans="1:6">
      <c r="A23" s="5"/>
    </row>
    <row r="24" spans="1:6">
      <c r="C24" s="9" t="s">
        <v>43</v>
      </c>
      <c r="D24" s="10">
        <f>+D2+D3+D4</f>
        <v>258.22000000000003</v>
      </c>
      <c r="E24">
        <v>258</v>
      </c>
      <c r="F24" s="24">
        <f>+E24-D24</f>
        <v>-0.22000000000002728</v>
      </c>
    </row>
    <row r="25" spans="1:6">
      <c r="C25" s="9" t="s">
        <v>37</v>
      </c>
      <c r="D25" s="10">
        <f>+D5+D6+D7</f>
        <v>30854.55</v>
      </c>
      <c r="E25">
        <v>30855</v>
      </c>
      <c r="F25" s="24">
        <f t="shared" ref="F25:F30" si="0">+E25-D25</f>
        <v>0.4500000000007276</v>
      </c>
    </row>
    <row r="26" spans="1:6">
      <c r="C26" s="9" t="s">
        <v>38</v>
      </c>
      <c r="D26" s="10">
        <f>+D11+D12+D13</f>
        <v>1158.29</v>
      </c>
      <c r="E26">
        <v>1158</v>
      </c>
      <c r="F26" s="24">
        <f t="shared" si="0"/>
        <v>-0.28999999999996362</v>
      </c>
    </row>
    <row r="27" spans="1:6">
      <c r="C27" s="9" t="s">
        <v>39</v>
      </c>
      <c r="D27" s="10">
        <f>+D8+D9+D10</f>
        <v>109.71</v>
      </c>
      <c r="E27">
        <v>110</v>
      </c>
      <c r="F27" s="24">
        <f t="shared" si="0"/>
        <v>0.29000000000000625</v>
      </c>
    </row>
    <row r="28" spans="1:6">
      <c r="C28" s="9" t="s">
        <v>40</v>
      </c>
      <c r="D28" s="10">
        <f>+D14+D15+D16</f>
        <v>1223.27</v>
      </c>
      <c r="E28">
        <v>1223</v>
      </c>
      <c r="F28" s="24">
        <f t="shared" si="0"/>
        <v>-0.26999999999998181</v>
      </c>
    </row>
    <row r="29" spans="1:6">
      <c r="C29" s="9" t="s">
        <v>41</v>
      </c>
      <c r="D29" s="10">
        <f>+D17+D18+D19</f>
        <v>1019.32</v>
      </c>
      <c r="E29">
        <v>1019</v>
      </c>
      <c r="F29" s="24">
        <f t="shared" si="0"/>
        <v>-0.32000000000005002</v>
      </c>
    </row>
    <row r="30" spans="1:6" ht="15.75" thickBot="1">
      <c r="C30" s="9" t="s">
        <v>42</v>
      </c>
      <c r="D30" s="11">
        <f>+D20+D21+D22</f>
        <v>104450.27000000002</v>
      </c>
      <c r="E30">
        <v>104450</v>
      </c>
      <c r="F30" s="24">
        <f t="shared" si="0"/>
        <v>-0.27000000001862645</v>
      </c>
    </row>
    <row r="31" spans="1:6" ht="15.75" thickBot="1">
      <c r="D31" s="12">
        <f>SUM(D24:D30)</f>
        <v>139073.63</v>
      </c>
      <c r="E31">
        <f>SUM(E24:E30)</f>
        <v>139073</v>
      </c>
      <c r="F31" s="24">
        <f>SUM(F24:F30)</f>
        <v>-0.63000000001791534</v>
      </c>
    </row>
  </sheetData>
  <autoFilter ref="A1:F1" xr:uid="{0BC5C757-C7D9-4F19-B4CC-F5AA35D21A9E}">
    <sortState xmlns:xlrd2="http://schemas.microsoft.com/office/spreadsheetml/2017/richdata2" ref="A2:F22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F0AD-70F9-45C7-99E7-74D97D71DED3}">
  <sheetPr>
    <outlinePr summaryBelow="0"/>
  </sheetPr>
  <dimension ref="A1:S68"/>
  <sheetViews>
    <sheetView topLeftCell="F1" workbookViewId="0">
      <pane ySplit="3" topLeftCell="A9" activePane="bottomLeft" state="frozen"/>
      <selection pane="bottomLeft" activeCell="S68" sqref="S68"/>
    </sheetView>
  </sheetViews>
  <sheetFormatPr defaultRowHeight="12.75"/>
  <cols>
    <col min="1" max="1" width="19.42578125" style="13" bestFit="1" customWidth="1"/>
    <col min="2" max="2" width="25.28515625" style="13" bestFit="1" customWidth="1"/>
    <col min="3" max="3" width="23.5703125" style="13" bestFit="1" customWidth="1"/>
    <col min="4" max="4" width="16.5703125" style="13" bestFit="1" customWidth="1"/>
    <col min="5" max="5" width="54.5703125" style="13" bestFit="1" customWidth="1"/>
    <col min="6" max="6" width="21.140625" style="13" bestFit="1" customWidth="1"/>
    <col min="7" max="7" width="34.140625" style="13" bestFit="1" customWidth="1"/>
    <col min="8" max="8" width="17.5703125" style="13" bestFit="1" customWidth="1"/>
    <col min="9" max="9" width="51.42578125" style="13" bestFit="1" customWidth="1"/>
    <col min="10" max="10" width="21.85546875" style="13" bestFit="1" customWidth="1"/>
    <col min="11" max="11" width="15.28515625" style="13" bestFit="1" customWidth="1"/>
    <col min="12" max="12" width="18.5703125" style="13" bestFit="1" customWidth="1"/>
    <col min="13" max="13" width="26.140625" style="13" bestFit="1" customWidth="1"/>
    <col min="14" max="14" width="15.5703125" style="13" bestFit="1" customWidth="1"/>
    <col min="15" max="15" width="27.5703125" style="13" bestFit="1" customWidth="1"/>
    <col min="16" max="16" width="31" style="13" bestFit="1" customWidth="1"/>
    <col min="17" max="17" width="8.140625" style="13" bestFit="1" customWidth="1"/>
    <col min="18" max="18" width="13.140625" style="13" bestFit="1" customWidth="1"/>
    <col min="19" max="19" width="14.140625" style="13" bestFit="1" customWidth="1"/>
    <col min="20" max="16384" width="9.140625" style="13"/>
  </cols>
  <sheetData>
    <row r="1" spans="1:19" s="14" customFormat="1">
      <c r="A1" s="14" t="s">
        <v>144</v>
      </c>
    </row>
    <row r="2" spans="1:19" s="14" customFormat="1"/>
    <row r="3" spans="1:19" s="14" customFormat="1">
      <c r="A3" s="14" t="s">
        <v>35</v>
      </c>
      <c r="B3" s="14" t="s">
        <v>143</v>
      </c>
      <c r="C3" s="14" t="s">
        <v>142</v>
      </c>
      <c r="D3" s="14" t="s">
        <v>0</v>
      </c>
      <c r="E3" s="14" t="s">
        <v>1</v>
      </c>
      <c r="F3" s="14" t="s">
        <v>141</v>
      </c>
      <c r="G3" s="14" t="s">
        <v>140</v>
      </c>
      <c r="H3" s="14" t="s">
        <v>139</v>
      </c>
      <c r="I3" s="14" t="s">
        <v>138</v>
      </c>
      <c r="J3" s="14" t="s">
        <v>137</v>
      </c>
      <c r="K3" s="14" t="s">
        <v>136</v>
      </c>
      <c r="L3" s="14" t="s">
        <v>135</v>
      </c>
      <c r="M3" s="14" t="s">
        <v>134</v>
      </c>
      <c r="N3" s="14" t="s">
        <v>133</v>
      </c>
      <c r="O3" s="14" t="s">
        <v>132</v>
      </c>
      <c r="P3" s="14" t="s">
        <v>131</v>
      </c>
      <c r="Q3" s="14" t="s">
        <v>130</v>
      </c>
      <c r="R3" s="14" t="s">
        <v>129</v>
      </c>
      <c r="S3" s="14" t="s">
        <v>128</v>
      </c>
    </row>
    <row r="4" spans="1:19">
      <c r="A4" s="20">
        <v>46020</v>
      </c>
      <c r="B4" s="20">
        <v>45839</v>
      </c>
      <c r="C4" s="20">
        <v>45930</v>
      </c>
      <c r="D4" s="13" t="s">
        <v>127</v>
      </c>
      <c r="E4" s="13" t="s">
        <v>7</v>
      </c>
      <c r="F4" s="13" t="s">
        <v>54</v>
      </c>
      <c r="G4" s="13" t="s">
        <v>53</v>
      </c>
      <c r="H4" s="13" t="s">
        <v>127</v>
      </c>
      <c r="I4" s="13" t="s">
        <v>126</v>
      </c>
      <c r="J4" s="13" t="s">
        <v>50</v>
      </c>
      <c r="K4" s="13" t="s">
        <v>49</v>
      </c>
      <c r="L4" s="13" t="s">
        <v>109</v>
      </c>
      <c r="M4" s="13" t="s">
        <v>108</v>
      </c>
      <c r="N4" s="13" t="s">
        <v>107</v>
      </c>
      <c r="O4" s="13" t="s">
        <v>65</v>
      </c>
      <c r="P4" s="13" t="s">
        <v>106</v>
      </c>
      <c r="Q4" s="19">
        <v>2</v>
      </c>
      <c r="R4" s="18">
        <v>123.6</v>
      </c>
      <c r="S4" s="18">
        <v>12.36</v>
      </c>
    </row>
    <row r="5" spans="1:19">
      <c r="A5" s="20">
        <v>46020</v>
      </c>
      <c r="B5" s="20">
        <v>45839</v>
      </c>
      <c r="C5" s="20">
        <v>45930</v>
      </c>
      <c r="D5" s="13" t="s">
        <v>127</v>
      </c>
      <c r="E5" s="13" t="s">
        <v>7</v>
      </c>
      <c r="F5" s="13" t="s">
        <v>54</v>
      </c>
      <c r="G5" s="13" t="s">
        <v>53</v>
      </c>
      <c r="H5" s="13" t="s">
        <v>127</v>
      </c>
      <c r="I5" s="13" t="s">
        <v>126</v>
      </c>
      <c r="J5" s="13" t="s">
        <v>50</v>
      </c>
      <c r="K5" s="13" t="s">
        <v>49</v>
      </c>
      <c r="L5" s="13" t="s">
        <v>94</v>
      </c>
      <c r="M5" s="13" t="s">
        <v>93</v>
      </c>
      <c r="N5" s="13" t="s">
        <v>92</v>
      </c>
      <c r="O5" s="13" t="s">
        <v>65</v>
      </c>
      <c r="P5" s="13" t="s">
        <v>91</v>
      </c>
      <c r="Q5" s="19">
        <v>33</v>
      </c>
      <c r="R5" s="18">
        <v>1995.42</v>
      </c>
      <c r="S5" s="18">
        <v>119.29456</v>
      </c>
    </row>
    <row r="6" spans="1:19">
      <c r="A6" s="20">
        <v>45993</v>
      </c>
      <c r="B6" s="20">
        <v>45748</v>
      </c>
      <c r="C6" s="20">
        <v>45838</v>
      </c>
      <c r="D6" s="13" t="s">
        <v>127</v>
      </c>
      <c r="E6" s="13" t="s">
        <v>7</v>
      </c>
      <c r="F6" s="13" t="s">
        <v>54</v>
      </c>
      <c r="G6" s="13" t="s">
        <v>53</v>
      </c>
      <c r="H6" s="13" t="s">
        <v>127</v>
      </c>
      <c r="I6" s="13" t="s">
        <v>126</v>
      </c>
      <c r="J6" s="13" t="s">
        <v>50</v>
      </c>
      <c r="K6" s="13" t="s">
        <v>49</v>
      </c>
      <c r="L6" s="13" t="s">
        <v>68</v>
      </c>
      <c r="M6" s="13" t="s">
        <v>67</v>
      </c>
      <c r="N6" s="13" t="s">
        <v>66</v>
      </c>
      <c r="O6" s="13" t="s">
        <v>65</v>
      </c>
      <c r="P6" s="13" t="s">
        <v>64</v>
      </c>
      <c r="Q6" s="19">
        <v>26</v>
      </c>
      <c r="R6" s="18">
        <v>965.81</v>
      </c>
      <c r="S6" s="18">
        <v>43.52</v>
      </c>
    </row>
    <row r="7" spans="1:19">
      <c r="A7" s="20">
        <v>45993</v>
      </c>
      <c r="B7" s="20">
        <v>45839</v>
      </c>
      <c r="C7" s="20">
        <v>45930</v>
      </c>
      <c r="D7" s="13" t="s">
        <v>127</v>
      </c>
      <c r="E7" s="13" t="s">
        <v>7</v>
      </c>
      <c r="F7" s="13" t="s">
        <v>54</v>
      </c>
      <c r="G7" s="13" t="s">
        <v>53</v>
      </c>
      <c r="H7" s="13" t="s">
        <v>127</v>
      </c>
      <c r="I7" s="13" t="s">
        <v>126</v>
      </c>
      <c r="J7" s="13" t="s">
        <v>50</v>
      </c>
      <c r="K7" s="13" t="s">
        <v>49</v>
      </c>
      <c r="L7" s="13" t="s">
        <v>78</v>
      </c>
      <c r="M7" s="13" t="s">
        <v>77</v>
      </c>
      <c r="N7" s="13" t="s">
        <v>76</v>
      </c>
      <c r="O7" s="13" t="s">
        <v>45</v>
      </c>
      <c r="P7" s="13" t="s">
        <v>75</v>
      </c>
      <c r="Q7" s="19">
        <v>18</v>
      </c>
      <c r="R7" s="18">
        <v>707.28</v>
      </c>
      <c r="S7" s="18">
        <v>21.24</v>
      </c>
    </row>
    <row r="8" spans="1:19">
      <c r="A8" s="20">
        <v>45960</v>
      </c>
      <c r="B8" s="20">
        <v>45748</v>
      </c>
      <c r="C8" s="20">
        <v>45838</v>
      </c>
      <c r="D8" s="13" t="s">
        <v>127</v>
      </c>
      <c r="E8" s="13" t="s">
        <v>7</v>
      </c>
      <c r="F8" s="13" t="s">
        <v>54</v>
      </c>
      <c r="G8" s="13" t="s">
        <v>53</v>
      </c>
      <c r="H8" s="13" t="s">
        <v>127</v>
      </c>
      <c r="I8" s="13" t="s">
        <v>126</v>
      </c>
      <c r="J8" s="13" t="s">
        <v>50</v>
      </c>
      <c r="K8" s="13" t="s">
        <v>49</v>
      </c>
      <c r="L8" s="13" t="s">
        <v>72</v>
      </c>
      <c r="M8" s="13" t="s">
        <v>71</v>
      </c>
      <c r="N8" s="13" t="s">
        <v>70</v>
      </c>
      <c r="O8" s="13" t="s">
        <v>45</v>
      </c>
      <c r="P8" s="13" t="s">
        <v>69</v>
      </c>
      <c r="Q8" s="19">
        <v>10</v>
      </c>
      <c r="R8" s="18">
        <v>7.1</v>
      </c>
      <c r="S8" s="18">
        <v>0.71</v>
      </c>
    </row>
    <row r="9" spans="1:19">
      <c r="A9" s="20">
        <v>45960</v>
      </c>
      <c r="B9" s="20">
        <v>45748</v>
      </c>
      <c r="C9" s="20">
        <v>45838</v>
      </c>
      <c r="D9" s="13" t="s">
        <v>127</v>
      </c>
      <c r="E9" s="13" t="s">
        <v>7</v>
      </c>
      <c r="F9" s="13" t="s">
        <v>54</v>
      </c>
      <c r="G9" s="13" t="s">
        <v>53</v>
      </c>
      <c r="H9" s="13" t="s">
        <v>127</v>
      </c>
      <c r="I9" s="13" t="s">
        <v>126</v>
      </c>
      <c r="J9" s="13" t="s">
        <v>50</v>
      </c>
      <c r="K9" s="13" t="s">
        <v>49</v>
      </c>
      <c r="L9" s="13" t="s">
        <v>68</v>
      </c>
      <c r="M9" s="13" t="s">
        <v>67</v>
      </c>
      <c r="N9" s="13" t="s">
        <v>66</v>
      </c>
      <c r="O9" s="13" t="s">
        <v>65</v>
      </c>
      <c r="P9" s="13" t="s">
        <v>64</v>
      </c>
      <c r="Q9" s="19">
        <v>9</v>
      </c>
      <c r="R9" s="18">
        <v>5168.67</v>
      </c>
      <c r="S9" s="18">
        <v>61.1</v>
      </c>
    </row>
    <row r="10" spans="1:19">
      <c r="A10" s="20">
        <v>46020</v>
      </c>
      <c r="B10" s="20">
        <v>45658</v>
      </c>
      <c r="C10" s="20">
        <v>45747</v>
      </c>
      <c r="D10" s="13" t="s">
        <v>9</v>
      </c>
      <c r="E10" s="13" t="s">
        <v>10</v>
      </c>
      <c r="F10" s="13" t="s">
        <v>54</v>
      </c>
      <c r="G10" s="13" t="s">
        <v>53</v>
      </c>
      <c r="H10" s="13" t="s">
        <v>114</v>
      </c>
      <c r="I10" s="13" t="s">
        <v>113</v>
      </c>
      <c r="J10" s="13" t="s">
        <v>50</v>
      </c>
      <c r="K10" s="13" t="s">
        <v>49</v>
      </c>
      <c r="L10" s="13" t="s">
        <v>94</v>
      </c>
      <c r="M10" s="13" t="s">
        <v>93</v>
      </c>
      <c r="N10" s="13" t="s">
        <v>112</v>
      </c>
      <c r="O10" s="13" t="s">
        <v>111</v>
      </c>
      <c r="P10" s="13" t="s">
        <v>91</v>
      </c>
      <c r="Q10" s="19">
        <v>114</v>
      </c>
      <c r="R10" s="18">
        <v>10685.2</v>
      </c>
      <c r="S10" s="18">
        <v>186.99100000000001</v>
      </c>
    </row>
    <row r="11" spans="1:19">
      <c r="A11" s="20">
        <v>46020</v>
      </c>
      <c r="B11" s="20">
        <v>45839</v>
      </c>
      <c r="C11" s="20">
        <v>45930</v>
      </c>
      <c r="D11" s="13" t="s">
        <v>9</v>
      </c>
      <c r="E11" s="13" t="s">
        <v>10</v>
      </c>
      <c r="F11" s="13" t="s">
        <v>54</v>
      </c>
      <c r="G11" s="13" t="s">
        <v>53</v>
      </c>
      <c r="H11" s="13" t="s">
        <v>125</v>
      </c>
      <c r="I11" s="13" t="s">
        <v>124</v>
      </c>
      <c r="J11" s="13" t="s">
        <v>50</v>
      </c>
      <c r="K11" s="13" t="s">
        <v>49</v>
      </c>
      <c r="L11" s="13" t="s">
        <v>94</v>
      </c>
      <c r="M11" s="13" t="s">
        <v>93</v>
      </c>
      <c r="N11" s="13" t="s">
        <v>92</v>
      </c>
      <c r="O11" s="13" t="s">
        <v>65</v>
      </c>
      <c r="P11" s="13" t="s">
        <v>91</v>
      </c>
      <c r="Q11" s="19">
        <v>142</v>
      </c>
      <c r="R11" s="18">
        <v>3919.45</v>
      </c>
      <c r="S11" s="18">
        <v>483.31236999999999</v>
      </c>
    </row>
    <row r="12" spans="1:19">
      <c r="A12" s="20">
        <v>46020</v>
      </c>
      <c r="B12" s="20">
        <v>45839</v>
      </c>
      <c r="C12" s="20">
        <v>45930</v>
      </c>
      <c r="D12" s="13" t="s">
        <v>9</v>
      </c>
      <c r="E12" s="13" t="s">
        <v>10</v>
      </c>
      <c r="F12" s="13" t="s">
        <v>54</v>
      </c>
      <c r="G12" s="13" t="s">
        <v>53</v>
      </c>
      <c r="H12" s="13" t="s">
        <v>115</v>
      </c>
      <c r="I12" s="13" t="s">
        <v>110</v>
      </c>
      <c r="J12" s="13" t="s">
        <v>50</v>
      </c>
      <c r="K12" s="13" t="s">
        <v>49</v>
      </c>
      <c r="L12" s="13" t="s">
        <v>99</v>
      </c>
      <c r="M12" s="13" t="s">
        <v>98</v>
      </c>
      <c r="N12" s="13" t="s">
        <v>97</v>
      </c>
      <c r="O12" s="13" t="s">
        <v>96</v>
      </c>
      <c r="P12" s="13" t="s">
        <v>95</v>
      </c>
      <c r="Q12" s="19">
        <v>45</v>
      </c>
      <c r="R12" s="18">
        <v>293535</v>
      </c>
      <c r="S12" s="18">
        <v>5479.82</v>
      </c>
    </row>
    <row r="13" spans="1:19">
      <c r="A13" s="20">
        <v>46020</v>
      </c>
      <c r="B13" s="20">
        <v>45839</v>
      </c>
      <c r="C13" s="20">
        <v>45930</v>
      </c>
      <c r="D13" s="13" t="s">
        <v>9</v>
      </c>
      <c r="E13" s="13" t="s">
        <v>10</v>
      </c>
      <c r="F13" s="13" t="s">
        <v>54</v>
      </c>
      <c r="G13" s="13" t="s">
        <v>53</v>
      </c>
      <c r="H13" s="13" t="s">
        <v>115</v>
      </c>
      <c r="I13" s="13" t="s">
        <v>110</v>
      </c>
      <c r="J13" s="13" t="s">
        <v>50</v>
      </c>
      <c r="K13" s="13" t="s">
        <v>49</v>
      </c>
      <c r="L13" s="13" t="s">
        <v>94</v>
      </c>
      <c r="M13" s="13" t="s">
        <v>93</v>
      </c>
      <c r="N13" s="13" t="s">
        <v>92</v>
      </c>
      <c r="O13" s="13" t="s">
        <v>65</v>
      </c>
      <c r="P13" s="13" t="s">
        <v>91</v>
      </c>
      <c r="Q13" s="19">
        <v>2919</v>
      </c>
      <c r="R13" s="18">
        <v>155204.20000000001</v>
      </c>
      <c r="S13" s="18">
        <v>22165.29722</v>
      </c>
    </row>
    <row r="14" spans="1:19">
      <c r="A14" s="20">
        <v>46020</v>
      </c>
      <c r="B14" s="20">
        <v>45870</v>
      </c>
      <c r="C14" s="20">
        <v>45900</v>
      </c>
      <c r="D14" s="13" t="s">
        <v>9</v>
      </c>
      <c r="E14" s="13" t="s">
        <v>10</v>
      </c>
      <c r="F14" s="13" t="s">
        <v>54</v>
      </c>
      <c r="G14" s="13" t="s">
        <v>53</v>
      </c>
      <c r="H14" s="13" t="s">
        <v>115</v>
      </c>
      <c r="I14" s="13" t="s">
        <v>110</v>
      </c>
      <c r="J14" s="13" t="s">
        <v>50</v>
      </c>
      <c r="K14" s="13" t="s">
        <v>49</v>
      </c>
      <c r="L14" s="13" t="s">
        <v>90</v>
      </c>
      <c r="M14" s="13" t="s">
        <v>89</v>
      </c>
      <c r="N14" s="13" t="s">
        <v>88</v>
      </c>
      <c r="O14" s="13" t="s">
        <v>73</v>
      </c>
      <c r="P14" s="13" t="s">
        <v>87</v>
      </c>
      <c r="Q14" s="19">
        <v>4</v>
      </c>
      <c r="R14" s="18">
        <v>500</v>
      </c>
      <c r="S14" s="18">
        <v>10</v>
      </c>
    </row>
    <row r="15" spans="1:19">
      <c r="A15" s="20">
        <v>46020</v>
      </c>
      <c r="B15" s="20">
        <v>45870</v>
      </c>
      <c r="C15" s="20">
        <v>45900</v>
      </c>
      <c r="D15" s="13" t="s">
        <v>9</v>
      </c>
      <c r="E15" s="13" t="s">
        <v>10</v>
      </c>
      <c r="F15" s="13" t="s">
        <v>54</v>
      </c>
      <c r="G15" s="13" t="s">
        <v>53</v>
      </c>
      <c r="H15" s="13" t="s">
        <v>119</v>
      </c>
      <c r="I15" s="13" t="s">
        <v>118</v>
      </c>
      <c r="J15" s="13" t="s">
        <v>50</v>
      </c>
      <c r="K15" s="13" t="s">
        <v>49</v>
      </c>
      <c r="L15" s="13" t="s">
        <v>90</v>
      </c>
      <c r="M15" s="13" t="s">
        <v>89</v>
      </c>
      <c r="N15" s="13" t="s">
        <v>88</v>
      </c>
      <c r="O15" s="13" t="s">
        <v>73</v>
      </c>
      <c r="P15" s="13" t="s">
        <v>87</v>
      </c>
      <c r="Q15" s="19">
        <v>6</v>
      </c>
      <c r="R15" s="18">
        <v>750</v>
      </c>
      <c r="S15" s="18">
        <v>15</v>
      </c>
    </row>
    <row r="16" spans="1:19">
      <c r="A16" s="20">
        <v>46020</v>
      </c>
      <c r="B16" s="20">
        <v>45901</v>
      </c>
      <c r="C16" s="20">
        <v>45930</v>
      </c>
      <c r="D16" s="13" t="s">
        <v>9</v>
      </c>
      <c r="E16" s="13" t="s">
        <v>10</v>
      </c>
      <c r="F16" s="13" t="s">
        <v>54</v>
      </c>
      <c r="G16" s="13" t="s">
        <v>53</v>
      </c>
      <c r="H16" s="13" t="s">
        <v>115</v>
      </c>
      <c r="I16" s="13" t="s">
        <v>110</v>
      </c>
      <c r="J16" s="13" t="s">
        <v>50</v>
      </c>
      <c r="K16" s="13" t="s">
        <v>49</v>
      </c>
      <c r="L16" s="13" t="s">
        <v>123</v>
      </c>
      <c r="M16" s="13" t="s">
        <v>122</v>
      </c>
      <c r="N16" s="13" t="s">
        <v>121</v>
      </c>
      <c r="O16" s="13" t="s">
        <v>45</v>
      </c>
      <c r="P16" s="13" t="s">
        <v>120</v>
      </c>
      <c r="Q16" s="19">
        <v>17</v>
      </c>
      <c r="R16" s="18">
        <v>306</v>
      </c>
      <c r="S16" s="18">
        <v>12.24</v>
      </c>
    </row>
    <row r="17" spans="1:19">
      <c r="A17" s="20">
        <v>46020</v>
      </c>
      <c r="B17" s="20">
        <v>45901</v>
      </c>
      <c r="C17" s="20">
        <v>45930</v>
      </c>
      <c r="D17" s="13" t="s">
        <v>9</v>
      </c>
      <c r="E17" s="13" t="s">
        <v>10</v>
      </c>
      <c r="F17" s="13" t="s">
        <v>54</v>
      </c>
      <c r="G17" s="13" t="s">
        <v>53</v>
      </c>
      <c r="H17" s="13" t="s">
        <v>119</v>
      </c>
      <c r="I17" s="13" t="s">
        <v>118</v>
      </c>
      <c r="J17" s="13" t="s">
        <v>50</v>
      </c>
      <c r="K17" s="13" t="s">
        <v>49</v>
      </c>
      <c r="L17" s="13" t="s">
        <v>90</v>
      </c>
      <c r="M17" s="13" t="s">
        <v>89</v>
      </c>
      <c r="N17" s="13" t="s">
        <v>88</v>
      </c>
      <c r="O17" s="13" t="s">
        <v>73</v>
      </c>
      <c r="P17" s="13" t="s">
        <v>87</v>
      </c>
      <c r="Q17" s="19">
        <v>2</v>
      </c>
      <c r="R17" s="18">
        <v>250</v>
      </c>
      <c r="S17" s="18">
        <v>5</v>
      </c>
    </row>
    <row r="18" spans="1:19">
      <c r="A18" s="20">
        <v>45993</v>
      </c>
      <c r="B18" s="20">
        <v>45809</v>
      </c>
      <c r="C18" s="20">
        <v>45838</v>
      </c>
      <c r="D18" s="13" t="s">
        <v>9</v>
      </c>
      <c r="E18" s="13" t="s">
        <v>10</v>
      </c>
      <c r="F18" s="13" t="s">
        <v>54</v>
      </c>
      <c r="G18" s="13" t="s">
        <v>53</v>
      </c>
      <c r="H18" s="13" t="s">
        <v>114</v>
      </c>
      <c r="I18" s="13" t="s">
        <v>113</v>
      </c>
      <c r="J18" s="13" t="s">
        <v>50</v>
      </c>
      <c r="K18" s="13" t="s">
        <v>49</v>
      </c>
      <c r="L18" s="13" t="s">
        <v>86</v>
      </c>
      <c r="M18" s="13" t="s">
        <v>85</v>
      </c>
      <c r="N18" s="13" t="s">
        <v>84</v>
      </c>
      <c r="O18" s="13" t="s">
        <v>73</v>
      </c>
      <c r="P18" s="13" t="s">
        <v>83</v>
      </c>
      <c r="Q18" s="19">
        <v>100</v>
      </c>
      <c r="R18" s="18">
        <v>880</v>
      </c>
      <c r="S18" s="18">
        <v>44</v>
      </c>
    </row>
    <row r="19" spans="1:19">
      <c r="A19" s="20">
        <v>45993</v>
      </c>
      <c r="B19" s="20">
        <v>45839</v>
      </c>
      <c r="C19" s="20">
        <v>45869</v>
      </c>
      <c r="D19" s="13" t="s">
        <v>9</v>
      </c>
      <c r="E19" s="13" t="s">
        <v>10</v>
      </c>
      <c r="F19" s="13" t="s">
        <v>54</v>
      </c>
      <c r="G19" s="13" t="s">
        <v>53</v>
      </c>
      <c r="H19" s="13" t="s">
        <v>119</v>
      </c>
      <c r="I19" s="13" t="s">
        <v>118</v>
      </c>
      <c r="J19" s="13" t="s">
        <v>50</v>
      </c>
      <c r="K19" s="13" t="s">
        <v>49</v>
      </c>
      <c r="L19" s="13" t="s">
        <v>90</v>
      </c>
      <c r="M19" s="13" t="s">
        <v>89</v>
      </c>
      <c r="N19" s="13" t="s">
        <v>88</v>
      </c>
      <c r="O19" s="13" t="s">
        <v>73</v>
      </c>
      <c r="P19" s="13" t="s">
        <v>87</v>
      </c>
      <c r="Q19" s="19">
        <v>4</v>
      </c>
      <c r="R19" s="18">
        <v>500</v>
      </c>
      <c r="S19" s="18">
        <v>10</v>
      </c>
    </row>
    <row r="20" spans="1:19">
      <c r="A20" s="20">
        <v>45993</v>
      </c>
      <c r="B20" s="20">
        <v>45839</v>
      </c>
      <c r="C20" s="20">
        <v>45930</v>
      </c>
      <c r="D20" s="13" t="s">
        <v>9</v>
      </c>
      <c r="E20" s="13" t="s">
        <v>10</v>
      </c>
      <c r="F20" s="13" t="s">
        <v>54</v>
      </c>
      <c r="G20" s="13" t="s">
        <v>53</v>
      </c>
      <c r="H20" s="13" t="s">
        <v>114</v>
      </c>
      <c r="I20" s="13" t="s">
        <v>113</v>
      </c>
      <c r="J20" s="13" t="s">
        <v>50</v>
      </c>
      <c r="K20" s="13" t="s">
        <v>49</v>
      </c>
      <c r="L20" s="13" t="s">
        <v>82</v>
      </c>
      <c r="M20" s="13" t="s">
        <v>81</v>
      </c>
      <c r="N20" s="13" t="s">
        <v>80</v>
      </c>
      <c r="O20" s="13" t="s">
        <v>56</v>
      </c>
      <c r="P20" s="13" t="s">
        <v>79</v>
      </c>
      <c r="Q20" s="19">
        <v>1</v>
      </c>
      <c r="R20" s="18">
        <v>43.75</v>
      </c>
      <c r="S20" s="18">
        <v>0.88</v>
      </c>
    </row>
    <row r="21" spans="1:19">
      <c r="A21" s="20">
        <v>45993</v>
      </c>
      <c r="B21" s="20">
        <v>45839</v>
      </c>
      <c r="C21" s="20">
        <v>45930</v>
      </c>
      <c r="D21" s="13" t="s">
        <v>9</v>
      </c>
      <c r="E21" s="13" t="s">
        <v>10</v>
      </c>
      <c r="F21" s="13" t="s">
        <v>54</v>
      </c>
      <c r="G21" s="13" t="s">
        <v>53</v>
      </c>
      <c r="H21" s="13" t="s">
        <v>114</v>
      </c>
      <c r="I21" s="13" t="s">
        <v>113</v>
      </c>
      <c r="J21" s="13" t="s">
        <v>50</v>
      </c>
      <c r="K21" s="13" t="s">
        <v>49</v>
      </c>
      <c r="L21" s="13" t="s">
        <v>78</v>
      </c>
      <c r="M21" s="13" t="s">
        <v>77</v>
      </c>
      <c r="N21" s="13" t="s">
        <v>76</v>
      </c>
      <c r="O21" s="13" t="s">
        <v>45</v>
      </c>
      <c r="P21" s="13" t="s">
        <v>75</v>
      </c>
      <c r="Q21" s="19">
        <v>2</v>
      </c>
      <c r="R21" s="18">
        <v>415.52</v>
      </c>
      <c r="S21" s="18">
        <v>12.47</v>
      </c>
    </row>
    <row r="22" spans="1:19">
      <c r="A22" s="20">
        <v>45993</v>
      </c>
      <c r="B22" s="20">
        <v>45839</v>
      </c>
      <c r="C22" s="20">
        <v>45930</v>
      </c>
      <c r="D22" s="13" t="s">
        <v>9</v>
      </c>
      <c r="E22" s="13" t="s">
        <v>10</v>
      </c>
      <c r="F22" s="13" t="s">
        <v>54</v>
      </c>
      <c r="G22" s="13" t="s">
        <v>53</v>
      </c>
      <c r="H22" s="13" t="s">
        <v>117</v>
      </c>
      <c r="I22" s="13" t="s">
        <v>116</v>
      </c>
      <c r="J22" s="13" t="s">
        <v>50</v>
      </c>
      <c r="K22" s="13" t="s">
        <v>49</v>
      </c>
      <c r="L22" s="13" t="s">
        <v>82</v>
      </c>
      <c r="M22" s="13" t="s">
        <v>81</v>
      </c>
      <c r="N22" s="13" t="s">
        <v>80</v>
      </c>
      <c r="O22" s="13" t="s">
        <v>56</v>
      </c>
      <c r="P22" s="13" t="s">
        <v>79</v>
      </c>
      <c r="Q22" s="19">
        <v>11</v>
      </c>
      <c r="R22" s="18">
        <v>113.3</v>
      </c>
      <c r="S22" s="18">
        <v>2.27</v>
      </c>
    </row>
    <row r="23" spans="1:19">
      <c r="A23" s="20">
        <v>45993</v>
      </c>
      <c r="B23" s="20">
        <v>45901</v>
      </c>
      <c r="C23" s="20">
        <v>45930</v>
      </c>
      <c r="D23" s="13" t="s">
        <v>9</v>
      </c>
      <c r="E23" s="13" t="s">
        <v>10</v>
      </c>
      <c r="F23" s="13" t="s">
        <v>54</v>
      </c>
      <c r="G23" s="13" t="s">
        <v>53</v>
      </c>
      <c r="H23" s="13" t="s">
        <v>115</v>
      </c>
      <c r="I23" s="13" t="s">
        <v>110</v>
      </c>
      <c r="J23" s="13" t="s">
        <v>50</v>
      </c>
      <c r="K23" s="13" t="s">
        <v>49</v>
      </c>
      <c r="L23" s="13" t="s">
        <v>59</v>
      </c>
      <c r="M23" s="13" t="s">
        <v>58</v>
      </c>
      <c r="N23" s="13" t="s">
        <v>74</v>
      </c>
      <c r="O23" s="13" t="s">
        <v>73</v>
      </c>
      <c r="P23" s="13" t="s">
        <v>55</v>
      </c>
      <c r="Q23" s="19">
        <v>4</v>
      </c>
      <c r="R23" s="18">
        <v>113.12</v>
      </c>
      <c r="S23" s="18">
        <v>11.311999999999999</v>
      </c>
    </row>
    <row r="24" spans="1:19">
      <c r="A24" s="20">
        <v>45993</v>
      </c>
      <c r="B24" s="20">
        <v>45901</v>
      </c>
      <c r="C24" s="20">
        <v>45930</v>
      </c>
      <c r="D24" s="13" t="s">
        <v>9</v>
      </c>
      <c r="E24" s="13" t="s">
        <v>10</v>
      </c>
      <c r="F24" s="13" t="s">
        <v>54</v>
      </c>
      <c r="G24" s="13" t="s">
        <v>53</v>
      </c>
      <c r="H24" s="13" t="s">
        <v>9</v>
      </c>
      <c r="I24" s="13" t="s">
        <v>110</v>
      </c>
      <c r="J24" s="13" t="s">
        <v>50</v>
      </c>
      <c r="K24" s="13" t="s">
        <v>49</v>
      </c>
      <c r="L24" s="13" t="s">
        <v>63</v>
      </c>
      <c r="M24" s="13" t="s">
        <v>62</v>
      </c>
      <c r="N24" s="13" t="s">
        <v>61</v>
      </c>
      <c r="O24" s="13" t="s">
        <v>45</v>
      </c>
      <c r="P24" s="13" t="s">
        <v>60</v>
      </c>
      <c r="Q24" s="19">
        <v>1</v>
      </c>
      <c r="R24" s="18">
        <v>18.5</v>
      </c>
      <c r="S24" s="18">
        <v>0.93</v>
      </c>
    </row>
    <row r="25" spans="1:19">
      <c r="A25" s="20">
        <v>45960</v>
      </c>
      <c r="B25" s="20">
        <v>45748</v>
      </c>
      <c r="C25" s="20">
        <v>45838</v>
      </c>
      <c r="D25" s="13" t="s">
        <v>9</v>
      </c>
      <c r="E25" s="13" t="s">
        <v>10</v>
      </c>
      <c r="F25" s="13" t="s">
        <v>54</v>
      </c>
      <c r="G25" s="13" t="s">
        <v>53</v>
      </c>
      <c r="H25" s="13" t="s">
        <v>115</v>
      </c>
      <c r="I25" s="13" t="s">
        <v>110</v>
      </c>
      <c r="J25" s="13" t="s">
        <v>50</v>
      </c>
      <c r="K25" s="13" t="s">
        <v>49</v>
      </c>
      <c r="L25" s="13" t="s">
        <v>68</v>
      </c>
      <c r="M25" s="13" t="s">
        <v>67</v>
      </c>
      <c r="N25" s="13" t="s">
        <v>66</v>
      </c>
      <c r="O25" s="13" t="s">
        <v>65</v>
      </c>
      <c r="P25" s="13" t="s">
        <v>64</v>
      </c>
      <c r="Q25" s="19">
        <v>2</v>
      </c>
      <c r="R25" s="18">
        <v>3759.02</v>
      </c>
      <c r="S25" s="18">
        <v>37.590000000000003</v>
      </c>
    </row>
    <row r="26" spans="1:19">
      <c r="A26" s="20">
        <v>45960</v>
      </c>
      <c r="B26" s="20">
        <v>45748</v>
      </c>
      <c r="C26" s="20">
        <v>45838</v>
      </c>
      <c r="D26" s="13" t="s">
        <v>9</v>
      </c>
      <c r="E26" s="13" t="s">
        <v>10</v>
      </c>
      <c r="F26" s="13" t="s">
        <v>54</v>
      </c>
      <c r="G26" s="13" t="s">
        <v>53</v>
      </c>
      <c r="H26" s="13" t="s">
        <v>114</v>
      </c>
      <c r="I26" s="13" t="s">
        <v>113</v>
      </c>
      <c r="J26" s="13" t="s">
        <v>50</v>
      </c>
      <c r="K26" s="13" t="s">
        <v>49</v>
      </c>
      <c r="L26" s="13" t="s">
        <v>68</v>
      </c>
      <c r="M26" s="13" t="s">
        <v>67</v>
      </c>
      <c r="N26" s="13" t="s">
        <v>66</v>
      </c>
      <c r="O26" s="13" t="s">
        <v>65</v>
      </c>
      <c r="P26" s="13" t="s">
        <v>64</v>
      </c>
      <c r="Q26" s="19">
        <v>4</v>
      </c>
      <c r="R26" s="18">
        <v>4322.88</v>
      </c>
      <c r="S26" s="18">
        <v>43.23</v>
      </c>
    </row>
    <row r="27" spans="1:19">
      <c r="A27" s="20">
        <v>45960</v>
      </c>
      <c r="B27" s="20">
        <v>45748</v>
      </c>
      <c r="C27" s="20">
        <v>45838</v>
      </c>
      <c r="D27" s="13" t="s">
        <v>9</v>
      </c>
      <c r="E27" s="13" t="s">
        <v>10</v>
      </c>
      <c r="F27" s="13" t="s">
        <v>54</v>
      </c>
      <c r="G27" s="13" t="s">
        <v>53</v>
      </c>
      <c r="H27" s="13" t="s">
        <v>114</v>
      </c>
      <c r="I27" s="13" t="s">
        <v>113</v>
      </c>
      <c r="J27" s="13" t="s">
        <v>50</v>
      </c>
      <c r="K27" s="13" t="s">
        <v>49</v>
      </c>
      <c r="L27" s="13" t="s">
        <v>94</v>
      </c>
      <c r="M27" s="13" t="s">
        <v>93</v>
      </c>
      <c r="N27" s="13" t="s">
        <v>112</v>
      </c>
      <c r="O27" s="13" t="s">
        <v>111</v>
      </c>
      <c r="P27" s="13" t="s">
        <v>91</v>
      </c>
      <c r="Q27" s="19">
        <v>114</v>
      </c>
      <c r="R27" s="18">
        <v>9073.2000000000007</v>
      </c>
      <c r="S27" s="18">
        <v>623.40275999999994</v>
      </c>
    </row>
    <row r="28" spans="1:19">
      <c r="A28" s="20">
        <v>45960</v>
      </c>
      <c r="B28" s="20">
        <v>45748</v>
      </c>
      <c r="C28" s="20">
        <v>45838</v>
      </c>
      <c r="D28" s="13" t="s">
        <v>9</v>
      </c>
      <c r="E28" s="13" t="s">
        <v>10</v>
      </c>
      <c r="F28" s="13" t="s">
        <v>54</v>
      </c>
      <c r="G28" s="13" t="s">
        <v>53</v>
      </c>
      <c r="H28" s="13" t="s">
        <v>9</v>
      </c>
      <c r="I28" s="13" t="s">
        <v>110</v>
      </c>
      <c r="J28" s="13" t="s">
        <v>50</v>
      </c>
      <c r="K28" s="13" t="s">
        <v>49</v>
      </c>
      <c r="L28" s="13" t="s">
        <v>72</v>
      </c>
      <c r="M28" s="13" t="s">
        <v>71</v>
      </c>
      <c r="N28" s="13" t="s">
        <v>70</v>
      </c>
      <c r="O28" s="13" t="s">
        <v>45</v>
      </c>
      <c r="P28" s="13" t="s">
        <v>69</v>
      </c>
      <c r="Q28" s="19">
        <v>985</v>
      </c>
      <c r="R28" s="18">
        <v>9096.15</v>
      </c>
      <c r="S28" s="18">
        <v>1812.3510000000001</v>
      </c>
    </row>
    <row r="29" spans="1:19">
      <c r="A29" s="20">
        <v>46020</v>
      </c>
      <c r="B29" s="20">
        <v>45839</v>
      </c>
      <c r="C29" s="20">
        <v>45930</v>
      </c>
      <c r="D29" s="13" t="s">
        <v>18</v>
      </c>
      <c r="E29" s="13" t="s">
        <v>19</v>
      </c>
      <c r="F29" s="13" t="s">
        <v>54</v>
      </c>
      <c r="G29" s="13" t="s">
        <v>53</v>
      </c>
      <c r="H29" s="13" t="s">
        <v>18</v>
      </c>
      <c r="I29" s="13" t="s">
        <v>105</v>
      </c>
      <c r="J29" s="13" t="s">
        <v>50</v>
      </c>
      <c r="K29" s="13" t="s">
        <v>49</v>
      </c>
      <c r="L29" s="13" t="s">
        <v>109</v>
      </c>
      <c r="M29" s="13" t="s">
        <v>108</v>
      </c>
      <c r="N29" s="13" t="s">
        <v>107</v>
      </c>
      <c r="O29" s="13" t="s">
        <v>65</v>
      </c>
      <c r="P29" s="13" t="s">
        <v>106</v>
      </c>
      <c r="Q29" s="19">
        <v>2</v>
      </c>
      <c r="R29" s="18">
        <v>123.6</v>
      </c>
      <c r="S29" s="18">
        <v>12.36</v>
      </c>
    </row>
    <row r="30" spans="1:19">
      <c r="A30" s="20">
        <v>46020</v>
      </c>
      <c r="B30" s="20">
        <v>45839</v>
      </c>
      <c r="C30" s="20">
        <v>45930</v>
      </c>
      <c r="D30" s="13" t="s">
        <v>18</v>
      </c>
      <c r="E30" s="13" t="s">
        <v>19</v>
      </c>
      <c r="F30" s="13" t="s">
        <v>54</v>
      </c>
      <c r="G30" s="13" t="s">
        <v>53</v>
      </c>
      <c r="H30" s="13" t="s">
        <v>18</v>
      </c>
      <c r="I30" s="13" t="s">
        <v>105</v>
      </c>
      <c r="J30" s="13" t="s">
        <v>50</v>
      </c>
      <c r="K30" s="13" t="s">
        <v>49</v>
      </c>
      <c r="L30" s="13" t="s">
        <v>94</v>
      </c>
      <c r="M30" s="13" t="s">
        <v>93</v>
      </c>
      <c r="N30" s="13" t="s">
        <v>92</v>
      </c>
      <c r="O30" s="13" t="s">
        <v>65</v>
      </c>
      <c r="P30" s="13" t="s">
        <v>91</v>
      </c>
      <c r="Q30" s="19">
        <v>46</v>
      </c>
      <c r="R30" s="18">
        <v>1791.83</v>
      </c>
      <c r="S30" s="18">
        <v>89.207430000000002</v>
      </c>
    </row>
    <row r="31" spans="1:19">
      <c r="A31" s="20">
        <v>45993</v>
      </c>
      <c r="B31" s="20">
        <v>45839</v>
      </c>
      <c r="C31" s="20">
        <v>45930</v>
      </c>
      <c r="D31" s="13" t="s">
        <v>18</v>
      </c>
      <c r="E31" s="13" t="s">
        <v>19</v>
      </c>
      <c r="F31" s="13" t="s">
        <v>54</v>
      </c>
      <c r="G31" s="13" t="s">
        <v>53</v>
      </c>
      <c r="H31" s="13" t="s">
        <v>18</v>
      </c>
      <c r="I31" s="13" t="s">
        <v>105</v>
      </c>
      <c r="J31" s="13" t="s">
        <v>50</v>
      </c>
      <c r="K31" s="13" t="s">
        <v>49</v>
      </c>
      <c r="L31" s="13" t="s">
        <v>82</v>
      </c>
      <c r="M31" s="13" t="s">
        <v>81</v>
      </c>
      <c r="N31" s="13" t="s">
        <v>80</v>
      </c>
      <c r="O31" s="13" t="s">
        <v>56</v>
      </c>
      <c r="P31" s="13" t="s">
        <v>79</v>
      </c>
      <c r="Q31" s="19">
        <v>2</v>
      </c>
      <c r="R31" s="18">
        <v>87.5</v>
      </c>
      <c r="S31" s="18">
        <v>1.75</v>
      </c>
    </row>
    <row r="32" spans="1:19">
      <c r="A32" s="20">
        <v>45960</v>
      </c>
      <c r="B32" s="20">
        <v>45748</v>
      </c>
      <c r="C32" s="20">
        <v>45838</v>
      </c>
      <c r="D32" s="13" t="s">
        <v>18</v>
      </c>
      <c r="E32" s="13" t="s">
        <v>19</v>
      </c>
      <c r="F32" s="13" t="s">
        <v>54</v>
      </c>
      <c r="G32" s="13" t="s">
        <v>53</v>
      </c>
      <c r="H32" s="13" t="s">
        <v>18</v>
      </c>
      <c r="I32" s="13" t="s">
        <v>105</v>
      </c>
      <c r="J32" s="13" t="s">
        <v>50</v>
      </c>
      <c r="K32" s="13" t="s">
        <v>49</v>
      </c>
      <c r="L32" s="13" t="s">
        <v>72</v>
      </c>
      <c r="M32" s="13" t="s">
        <v>71</v>
      </c>
      <c r="N32" s="13" t="s">
        <v>70</v>
      </c>
      <c r="O32" s="13" t="s">
        <v>45</v>
      </c>
      <c r="P32" s="13" t="s">
        <v>69</v>
      </c>
      <c r="Q32" s="19">
        <v>80</v>
      </c>
      <c r="R32" s="18">
        <v>56.8</v>
      </c>
      <c r="S32" s="18">
        <v>6.39</v>
      </c>
    </row>
    <row r="33" spans="1:19">
      <c r="A33" s="20">
        <v>46020</v>
      </c>
      <c r="B33" s="20">
        <v>45901</v>
      </c>
      <c r="C33" s="20">
        <v>45930</v>
      </c>
      <c r="D33" s="13" t="s">
        <v>15</v>
      </c>
      <c r="E33" s="13" t="s">
        <v>104</v>
      </c>
      <c r="F33" s="13" t="s">
        <v>54</v>
      </c>
      <c r="G33" s="13" t="s">
        <v>53</v>
      </c>
      <c r="H33" s="13" t="s">
        <v>15</v>
      </c>
      <c r="I33" s="13" t="s">
        <v>103</v>
      </c>
      <c r="J33" s="13" t="s">
        <v>50</v>
      </c>
      <c r="K33" s="13" t="s">
        <v>49</v>
      </c>
      <c r="L33" s="13" t="s">
        <v>90</v>
      </c>
      <c r="M33" s="13" t="s">
        <v>89</v>
      </c>
      <c r="N33" s="13" t="s">
        <v>88</v>
      </c>
      <c r="O33" s="13" t="s">
        <v>73</v>
      </c>
      <c r="P33" s="13" t="s">
        <v>87</v>
      </c>
      <c r="Q33" s="19">
        <v>2</v>
      </c>
      <c r="R33" s="18">
        <v>250</v>
      </c>
      <c r="S33" s="18">
        <v>5</v>
      </c>
    </row>
    <row r="34" spans="1:19">
      <c r="A34" s="20">
        <v>45993</v>
      </c>
      <c r="B34" s="20">
        <v>45748</v>
      </c>
      <c r="C34" s="20">
        <v>45838</v>
      </c>
      <c r="D34" s="13" t="s">
        <v>15</v>
      </c>
      <c r="E34" s="13" t="s">
        <v>104</v>
      </c>
      <c r="F34" s="13" t="s">
        <v>54</v>
      </c>
      <c r="G34" s="13" t="s">
        <v>53</v>
      </c>
      <c r="H34" s="13" t="s">
        <v>15</v>
      </c>
      <c r="I34" s="13" t="s">
        <v>103</v>
      </c>
      <c r="J34" s="13" t="s">
        <v>50</v>
      </c>
      <c r="K34" s="13" t="s">
        <v>49</v>
      </c>
      <c r="L34" s="13" t="s">
        <v>68</v>
      </c>
      <c r="M34" s="13" t="s">
        <v>67</v>
      </c>
      <c r="N34" s="13" t="s">
        <v>66</v>
      </c>
      <c r="O34" s="13" t="s">
        <v>65</v>
      </c>
      <c r="P34" s="13" t="s">
        <v>64</v>
      </c>
      <c r="Q34" s="19">
        <v>195</v>
      </c>
      <c r="R34" s="18">
        <v>9792.3799999999992</v>
      </c>
      <c r="S34" s="18">
        <v>1030.1300000000001</v>
      </c>
    </row>
    <row r="35" spans="1:19">
      <c r="A35" s="20">
        <v>45993</v>
      </c>
      <c r="B35" s="20">
        <v>45839</v>
      </c>
      <c r="C35" s="20">
        <v>45930</v>
      </c>
      <c r="D35" s="13" t="s">
        <v>15</v>
      </c>
      <c r="E35" s="13" t="s">
        <v>104</v>
      </c>
      <c r="F35" s="13" t="s">
        <v>54</v>
      </c>
      <c r="G35" s="13" t="s">
        <v>53</v>
      </c>
      <c r="H35" s="13" t="s">
        <v>15</v>
      </c>
      <c r="I35" s="13" t="s">
        <v>103</v>
      </c>
      <c r="J35" s="13" t="s">
        <v>50</v>
      </c>
      <c r="K35" s="13" t="s">
        <v>49</v>
      </c>
      <c r="L35" s="13" t="s">
        <v>78</v>
      </c>
      <c r="M35" s="13" t="s">
        <v>77</v>
      </c>
      <c r="N35" s="13" t="s">
        <v>76</v>
      </c>
      <c r="O35" s="13" t="s">
        <v>45</v>
      </c>
      <c r="P35" s="13" t="s">
        <v>75</v>
      </c>
      <c r="Q35" s="19">
        <v>2</v>
      </c>
      <c r="R35" s="18">
        <v>196.74</v>
      </c>
      <c r="S35" s="18">
        <v>5.9</v>
      </c>
    </row>
    <row r="36" spans="1:19">
      <c r="A36" s="20">
        <v>45960</v>
      </c>
      <c r="B36" s="20">
        <v>45748</v>
      </c>
      <c r="C36" s="20">
        <v>45838</v>
      </c>
      <c r="D36" s="13" t="s">
        <v>15</v>
      </c>
      <c r="E36" s="13" t="s">
        <v>104</v>
      </c>
      <c r="F36" s="13" t="s">
        <v>54</v>
      </c>
      <c r="G36" s="13" t="s">
        <v>53</v>
      </c>
      <c r="H36" s="13" t="s">
        <v>15</v>
      </c>
      <c r="I36" s="13" t="s">
        <v>103</v>
      </c>
      <c r="J36" s="13" t="s">
        <v>50</v>
      </c>
      <c r="K36" s="13" t="s">
        <v>49</v>
      </c>
      <c r="L36" s="13" t="s">
        <v>72</v>
      </c>
      <c r="M36" s="13" t="s">
        <v>71</v>
      </c>
      <c r="N36" s="13" t="s">
        <v>70</v>
      </c>
      <c r="O36" s="13" t="s">
        <v>45</v>
      </c>
      <c r="P36" s="13" t="s">
        <v>69</v>
      </c>
      <c r="Q36" s="19">
        <v>356</v>
      </c>
      <c r="R36" s="18">
        <v>787.96</v>
      </c>
      <c r="S36" s="18">
        <v>88.117999999999995</v>
      </c>
    </row>
    <row r="37" spans="1:19">
      <c r="A37" s="20">
        <v>45960</v>
      </c>
      <c r="B37" s="20">
        <v>45748</v>
      </c>
      <c r="C37" s="20">
        <v>45838</v>
      </c>
      <c r="D37" s="13" t="s">
        <v>15</v>
      </c>
      <c r="E37" s="13" t="s">
        <v>104</v>
      </c>
      <c r="F37" s="13" t="s">
        <v>54</v>
      </c>
      <c r="G37" s="13" t="s">
        <v>53</v>
      </c>
      <c r="H37" s="13" t="s">
        <v>15</v>
      </c>
      <c r="I37" s="13" t="s">
        <v>103</v>
      </c>
      <c r="J37" s="13" t="s">
        <v>50</v>
      </c>
      <c r="K37" s="13" t="s">
        <v>49</v>
      </c>
      <c r="L37" s="13" t="s">
        <v>68</v>
      </c>
      <c r="M37" s="13" t="s">
        <v>67</v>
      </c>
      <c r="N37" s="13" t="s">
        <v>66</v>
      </c>
      <c r="O37" s="13" t="s">
        <v>65</v>
      </c>
      <c r="P37" s="13" t="s">
        <v>64</v>
      </c>
      <c r="Q37" s="19">
        <v>5</v>
      </c>
      <c r="R37" s="18">
        <v>2913.25</v>
      </c>
      <c r="S37" s="18">
        <v>29.14</v>
      </c>
    </row>
    <row r="38" spans="1:19">
      <c r="A38" s="20">
        <v>46020</v>
      </c>
      <c r="B38" s="20">
        <v>45901</v>
      </c>
      <c r="C38" s="20">
        <v>45930</v>
      </c>
      <c r="D38" s="13" t="s">
        <v>12</v>
      </c>
      <c r="E38" s="13" t="s">
        <v>13</v>
      </c>
      <c r="F38" s="13" t="s">
        <v>54</v>
      </c>
      <c r="G38" s="13" t="s">
        <v>53</v>
      </c>
      <c r="H38" s="13" t="s">
        <v>12</v>
      </c>
      <c r="I38" s="13" t="s">
        <v>102</v>
      </c>
      <c r="J38" s="13" t="s">
        <v>50</v>
      </c>
      <c r="K38" s="13" t="s">
        <v>49</v>
      </c>
      <c r="L38" s="13" t="s">
        <v>90</v>
      </c>
      <c r="M38" s="13" t="s">
        <v>89</v>
      </c>
      <c r="N38" s="13" t="s">
        <v>88</v>
      </c>
      <c r="O38" s="13" t="s">
        <v>73</v>
      </c>
      <c r="P38" s="13" t="s">
        <v>87</v>
      </c>
      <c r="Q38" s="19">
        <v>3</v>
      </c>
      <c r="R38" s="18">
        <v>375</v>
      </c>
      <c r="S38" s="18">
        <v>7.5</v>
      </c>
    </row>
    <row r="39" spans="1:19">
      <c r="A39" s="20">
        <v>45993</v>
      </c>
      <c r="B39" s="20">
        <v>45748</v>
      </c>
      <c r="C39" s="20">
        <v>45838</v>
      </c>
      <c r="D39" s="13" t="s">
        <v>12</v>
      </c>
      <c r="E39" s="13" t="s">
        <v>13</v>
      </c>
      <c r="F39" s="13" t="s">
        <v>54</v>
      </c>
      <c r="G39" s="13" t="s">
        <v>53</v>
      </c>
      <c r="H39" s="13" t="s">
        <v>12</v>
      </c>
      <c r="I39" s="13" t="s">
        <v>102</v>
      </c>
      <c r="J39" s="13" t="s">
        <v>50</v>
      </c>
      <c r="K39" s="13" t="s">
        <v>49</v>
      </c>
      <c r="L39" s="13" t="s">
        <v>68</v>
      </c>
      <c r="M39" s="13" t="s">
        <v>67</v>
      </c>
      <c r="N39" s="13" t="s">
        <v>66</v>
      </c>
      <c r="O39" s="13" t="s">
        <v>65</v>
      </c>
      <c r="P39" s="13" t="s">
        <v>64</v>
      </c>
      <c r="Q39" s="19">
        <v>422</v>
      </c>
      <c r="R39" s="18">
        <v>16400.53</v>
      </c>
      <c r="S39" s="18">
        <v>1015.89</v>
      </c>
    </row>
    <row r="40" spans="1:19">
      <c r="A40" s="20">
        <v>45993</v>
      </c>
      <c r="B40" s="20">
        <v>45839</v>
      </c>
      <c r="C40" s="20">
        <v>45930</v>
      </c>
      <c r="D40" s="13" t="s">
        <v>12</v>
      </c>
      <c r="E40" s="13" t="s">
        <v>13</v>
      </c>
      <c r="F40" s="13" t="s">
        <v>54</v>
      </c>
      <c r="G40" s="13" t="s">
        <v>53</v>
      </c>
      <c r="H40" s="13" t="s">
        <v>12</v>
      </c>
      <c r="I40" s="13" t="s">
        <v>102</v>
      </c>
      <c r="J40" s="13" t="s">
        <v>50</v>
      </c>
      <c r="K40" s="13" t="s">
        <v>49</v>
      </c>
      <c r="L40" s="13" t="s">
        <v>82</v>
      </c>
      <c r="M40" s="13" t="s">
        <v>81</v>
      </c>
      <c r="N40" s="13" t="s">
        <v>80</v>
      </c>
      <c r="O40" s="13" t="s">
        <v>56</v>
      </c>
      <c r="P40" s="13" t="s">
        <v>79</v>
      </c>
      <c r="Q40" s="19">
        <v>8</v>
      </c>
      <c r="R40" s="18">
        <v>350</v>
      </c>
      <c r="S40" s="18">
        <v>7.01</v>
      </c>
    </row>
    <row r="41" spans="1:19">
      <c r="A41" s="20">
        <v>45993</v>
      </c>
      <c r="B41" s="20">
        <v>45839</v>
      </c>
      <c r="C41" s="20">
        <v>45930</v>
      </c>
      <c r="D41" s="13" t="s">
        <v>12</v>
      </c>
      <c r="E41" s="13" t="s">
        <v>13</v>
      </c>
      <c r="F41" s="13" t="s">
        <v>54</v>
      </c>
      <c r="G41" s="13" t="s">
        <v>53</v>
      </c>
      <c r="H41" s="13" t="s">
        <v>12</v>
      </c>
      <c r="I41" s="13" t="s">
        <v>102</v>
      </c>
      <c r="J41" s="13" t="s">
        <v>50</v>
      </c>
      <c r="K41" s="13" t="s">
        <v>49</v>
      </c>
      <c r="L41" s="13" t="s">
        <v>78</v>
      </c>
      <c r="M41" s="13" t="s">
        <v>77</v>
      </c>
      <c r="N41" s="13" t="s">
        <v>76</v>
      </c>
      <c r="O41" s="13" t="s">
        <v>45</v>
      </c>
      <c r="P41" s="13" t="s">
        <v>75</v>
      </c>
      <c r="Q41" s="19">
        <v>25</v>
      </c>
      <c r="R41" s="18">
        <v>2535.75</v>
      </c>
      <c r="S41" s="18">
        <v>76.09</v>
      </c>
    </row>
    <row r="42" spans="1:19">
      <c r="A42" s="20">
        <v>45960</v>
      </c>
      <c r="B42" s="20">
        <v>45748</v>
      </c>
      <c r="C42" s="20">
        <v>45838</v>
      </c>
      <c r="D42" s="13" t="s">
        <v>12</v>
      </c>
      <c r="E42" s="13" t="s">
        <v>13</v>
      </c>
      <c r="F42" s="13" t="s">
        <v>54</v>
      </c>
      <c r="G42" s="13" t="s">
        <v>53</v>
      </c>
      <c r="H42" s="13" t="s">
        <v>12</v>
      </c>
      <c r="I42" s="13" t="s">
        <v>102</v>
      </c>
      <c r="J42" s="13" t="s">
        <v>50</v>
      </c>
      <c r="K42" s="13" t="s">
        <v>49</v>
      </c>
      <c r="L42" s="13" t="s">
        <v>72</v>
      </c>
      <c r="M42" s="13" t="s">
        <v>71</v>
      </c>
      <c r="N42" s="13" t="s">
        <v>70</v>
      </c>
      <c r="O42" s="13" t="s">
        <v>45</v>
      </c>
      <c r="P42" s="13" t="s">
        <v>69</v>
      </c>
      <c r="Q42" s="19">
        <v>308</v>
      </c>
      <c r="R42" s="18">
        <v>433.72</v>
      </c>
      <c r="S42" s="18">
        <v>32.335999999999999</v>
      </c>
    </row>
    <row r="43" spans="1:19">
      <c r="A43" s="20">
        <v>45960</v>
      </c>
      <c r="B43" s="20">
        <v>45839</v>
      </c>
      <c r="C43" s="20">
        <v>45869</v>
      </c>
      <c r="D43" s="13" t="s">
        <v>12</v>
      </c>
      <c r="E43" s="13" t="s">
        <v>13</v>
      </c>
      <c r="F43" s="13" t="s">
        <v>54</v>
      </c>
      <c r="G43" s="13" t="s">
        <v>53</v>
      </c>
      <c r="H43" s="13" t="s">
        <v>12</v>
      </c>
      <c r="I43" s="13" t="s">
        <v>102</v>
      </c>
      <c r="J43" s="13" t="s">
        <v>50</v>
      </c>
      <c r="K43" s="13" t="s">
        <v>49</v>
      </c>
      <c r="L43" s="13" t="s">
        <v>59</v>
      </c>
      <c r="M43" s="13" t="s">
        <v>58</v>
      </c>
      <c r="N43" s="13" t="s">
        <v>57</v>
      </c>
      <c r="O43" s="13" t="s">
        <v>56</v>
      </c>
      <c r="P43" s="13" t="s">
        <v>55</v>
      </c>
      <c r="Q43" s="19">
        <v>12</v>
      </c>
      <c r="R43" s="18">
        <v>844.44</v>
      </c>
      <c r="S43" s="18">
        <v>84.444000000000003</v>
      </c>
    </row>
    <row r="44" spans="1:19">
      <c r="A44" s="20">
        <v>46020</v>
      </c>
      <c r="B44" s="20">
        <v>45839</v>
      </c>
      <c r="C44" s="20">
        <v>45930</v>
      </c>
      <c r="D44" s="13" t="s">
        <v>101</v>
      </c>
      <c r="E44" s="13" t="s">
        <v>3</v>
      </c>
      <c r="F44" s="13" t="s">
        <v>54</v>
      </c>
      <c r="G44" s="13" t="s">
        <v>53</v>
      </c>
      <c r="H44" s="13" t="s">
        <v>101</v>
      </c>
      <c r="I44" s="13" t="s">
        <v>100</v>
      </c>
      <c r="J44" s="13" t="s">
        <v>50</v>
      </c>
      <c r="K44" s="13" t="s">
        <v>49</v>
      </c>
      <c r="L44" s="13" t="s">
        <v>94</v>
      </c>
      <c r="M44" s="13" t="s">
        <v>93</v>
      </c>
      <c r="N44" s="13" t="s">
        <v>92</v>
      </c>
      <c r="O44" s="13" t="s">
        <v>65</v>
      </c>
      <c r="P44" s="13" t="s">
        <v>91</v>
      </c>
      <c r="Q44" s="19">
        <v>327</v>
      </c>
      <c r="R44" s="18">
        <v>15802.2</v>
      </c>
      <c r="S44" s="18">
        <v>758.68713000000002</v>
      </c>
    </row>
    <row r="45" spans="1:19">
      <c r="A45" s="20">
        <v>45993</v>
      </c>
      <c r="B45" s="20">
        <v>45839</v>
      </c>
      <c r="C45" s="20">
        <v>45869</v>
      </c>
      <c r="D45" s="13" t="s">
        <v>101</v>
      </c>
      <c r="E45" s="13" t="s">
        <v>3</v>
      </c>
      <c r="F45" s="13" t="s">
        <v>54</v>
      </c>
      <c r="G45" s="13" t="s">
        <v>53</v>
      </c>
      <c r="H45" s="13" t="s">
        <v>101</v>
      </c>
      <c r="I45" s="13" t="s">
        <v>100</v>
      </c>
      <c r="J45" s="13" t="s">
        <v>50</v>
      </c>
      <c r="K45" s="13" t="s">
        <v>49</v>
      </c>
      <c r="L45" s="13" t="s">
        <v>90</v>
      </c>
      <c r="M45" s="13" t="s">
        <v>89</v>
      </c>
      <c r="N45" s="13" t="s">
        <v>88</v>
      </c>
      <c r="O45" s="13" t="s">
        <v>73</v>
      </c>
      <c r="P45" s="13" t="s">
        <v>87</v>
      </c>
      <c r="Q45" s="19">
        <v>1</v>
      </c>
      <c r="R45" s="18">
        <v>125</v>
      </c>
      <c r="S45" s="18">
        <v>2.5</v>
      </c>
    </row>
    <row r="46" spans="1:19">
      <c r="A46" s="20">
        <v>45993</v>
      </c>
      <c r="B46" s="20">
        <v>45839</v>
      </c>
      <c r="C46" s="20">
        <v>45930</v>
      </c>
      <c r="D46" s="13" t="s">
        <v>101</v>
      </c>
      <c r="E46" s="13" t="s">
        <v>3</v>
      </c>
      <c r="F46" s="13" t="s">
        <v>54</v>
      </c>
      <c r="G46" s="13" t="s">
        <v>53</v>
      </c>
      <c r="H46" s="13" t="s">
        <v>101</v>
      </c>
      <c r="I46" s="13" t="s">
        <v>100</v>
      </c>
      <c r="J46" s="13" t="s">
        <v>50</v>
      </c>
      <c r="K46" s="13" t="s">
        <v>49</v>
      </c>
      <c r="L46" s="13" t="s">
        <v>78</v>
      </c>
      <c r="M46" s="13" t="s">
        <v>77</v>
      </c>
      <c r="N46" s="13" t="s">
        <v>76</v>
      </c>
      <c r="O46" s="13" t="s">
        <v>45</v>
      </c>
      <c r="P46" s="13" t="s">
        <v>75</v>
      </c>
      <c r="Q46" s="19">
        <v>30</v>
      </c>
      <c r="R46" s="18">
        <v>294.3</v>
      </c>
      <c r="S46" s="18">
        <v>8.83</v>
      </c>
    </row>
    <row r="47" spans="1:19">
      <c r="A47" s="20">
        <v>45960</v>
      </c>
      <c r="B47" s="20">
        <v>45748</v>
      </c>
      <c r="C47" s="20">
        <v>45838</v>
      </c>
      <c r="D47" s="13" t="s">
        <v>101</v>
      </c>
      <c r="E47" s="13" t="s">
        <v>3</v>
      </c>
      <c r="F47" s="13" t="s">
        <v>54</v>
      </c>
      <c r="G47" s="13" t="s">
        <v>53</v>
      </c>
      <c r="H47" s="13" t="s">
        <v>101</v>
      </c>
      <c r="I47" s="13" t="s">
        <v>100</v>
      </c>
      <c r="J47" s="13" t="s">
        <v>50</v>
      </c>
      <c r="K47" s="13" t="s">
        <v>49</v>
      </c>
      <c r="L47" s="13" t="s">
        <v>72</v>
      </c>
      <c r="M47" s="13" t="s">
        <v>71</v>
      </c>
      <c r="N47" s="13" t="s">
        <v>70</v>
      </c>
      <c r="O47" s="13" t="s">
        <v>45</v>
      </c>
      <c r="P47" s="13" t="s">
        <v>69</v>
      </c>
      <c r="Q47" s="19">
        <v>134</v>
      </c>
      <c r="R47" s="18">
        <v>899.16</v>
      </c>
      <c r="S47" s="18">
        <v>97.016000000000005</v>
      </c>
    </row>
    <row r="48" spans="1:19">
      <c r="A48" s="20">
        <v>45960</v>
      </c>
      <c r="B48" s="20">
        <v>45748</v>
      </c>
      <c r="C48" s="20">
        <v>45838</v>
      </c>
      <c r="D48" s="13" t="s">
        <v>101</v>
      </c>
      <c r="E48" s="13" t="s">
        <v>3</v>
      </c>
      <c r="F48" s="13" t="s">
        <v>54</v>
      </c>
      <c r="G48" s="13" t="s">
        <v>53</v>
      </c>
      <c r="H48" s="13" t="s">
        <v>101</v>
      </c>
      <c r="I48" s="13" t="s">
        <v>100</v>
      </c>
      <c r="J48" s="13" t="s">
        <v>50</v>
      </c>
      <c r="K48" s="13" t="s">
        <v>49</v>
      </c>
      <c r="L48" s="13" t="s">
        <v>68</v>
      </c>
      <c r="M48" s="13" t="s">
        <v>67</v>
      </c>
      <c r="N48" s="13" t="s">
        <v>66</v>
      </c>
      <c r="O48" s="13" t="s">
        <v>65</v>
      </c>
      <c r="P48" s="13" t="s">
        <v>64</v>
      </c>
      <c r="Q48" s="19">
        <v>12</v>
      </c>
      <c r="R48" s="18">
        <v>10525.3</v>
      </c>
      <c r="S48" s="18">
        <v>152.28</v>
      </c>
    </row>
    <row r="49" spans="1:19">
      <c r="A49" s="20">
        <v>46020</v>
      </c>
      <c r="B49" s="20">
        <v>45839</v>
      </c>
      <c r="C49" s="20">
        <v>45930</v>
      </c>
      <c r="D49" s="13" t="s">
        <v>52</v>
      </c>
      <c r="E49" s="13" t="s">
        <v>5</v>
      </c>
      <c r="F49" s="13" t="s">
        <v>54</v>
      </c>
      <c r="G49" s="13" t="s">
        <v>53</v>
      </c>
      <c r="H49" s="13" t="s">
        <v>52</v>
      </c>
      <c r="I49" s="13" t="s">
        <v>51</v>
      </c>
      <c r="J49" s="13" t="s">
        <v>50</v>
      </c>
      <c r="K49" s="13" t="s">
        <v>49</v>
      </c>
      <c r="L49" s="13" t="s">
        <v>99</v>
      </c>
      <c r="M49" s="13" t="s">
        <v>98</v>
      </c>
      <c r="N49" s="13" t="s">
        <v>97</v>
      </c>
      <c r="O49" s="13" t="s">
        <v>96</v>
      </c>
      <c r="P49" s="13" t="s">
        <v>95</v>
      </c>
      <c r="Q49" s="19">
        <v>26</v>
      </c>
      <c r="R49" s="18">
        <v>431117.28</v>
      </c>
      <c r="S49" s="18">
        <v>0.28999999999999998</v>
      </c>
    </row>
    <row r="50" spans="1:19">
      <c r="A50" s="20">
        <v>46020</v>
      </c>
      <c r="B50" s="20">
        <v>45839</v>
      </c>
      <c r="C50" s="20">
        <v>45930</v>
      </c>
      <c r="D50" s="13" t="s">
        <v>52</v>
      </c>
      <c r="E50" s="13" t="s">
        <v>5</v>
      </c>
      <c r="F50" s="13" t="s">
        <v>54</v>
      </c>
      <c r="G50" s="13" t="s">
        <v>53</v>
      </c>
      <c r="H50" s="13" t="s">
        <v>52</v>
      </c>
      <c r="I50" s="13" t="s">
        <v>51</v>
      </c>
      <c r="J50" s="13" t="s">
        <v>50</v>
      </c>
      <c r="K50" s="13" t="s">
        <v>49</v>
      </c>
      <c r="L50" s="13" t="s">
        <v>94</v>
      </c>
      <c r="M50" s="13" t="s">
        <v>93</v>
      </c>
      <c r="N50" s="13" t="s">
        <v>92</v>
      </c>
      <c r="O50" s="13" t="s">
        <v>65</v>
      </c>
      <c r="P50" s="13" t="s">
        <v>91</v>
      </c>
      <c r="Q50" s="19">
        <v>3915</v>
      </c>
      <c r="R50" s="18">
        <v>204643.82</v>
      </c>
      <c r="S50" s="18">
        <v>15031.70808</v>
      </c>
    </row>
    <row r="51" spans="1:19">
      <c r="A51" s="20">
        <v>46020</v>
      </c>
      <c r="B51" s="20">
        <v>45870</v>
      </c>
      <c r="C51" s="20">
        <v>45900</v>
      </c>
      <c r="D51" s="13" t="s">
        <v>52</v>
      </c>
      <c r="E51" s="13" t="s">
        <v>5</v>
      </c>
      <c r="F51" s="13" t="s">
        <v>54</v>
      </c>
      <c r="G51" s="13" t="s">
        <v>53</v>
      </c>
      <c r="H51" s="13" t="s">
        <v>52</v>
      </c>
      <c r="I51" s="13" t="s">
        <v>51</v>
      </c>
      <c r="J51" s="13" t="s">
        <v>50</v>
      </c>
      <c r="K51" s="13" t="s">
        <v>49</v>
      </c>
      <c r="L51" s="13" t="s">
        <v>90</v>
      </c>
      <c r="M51" s="13" t="s">
        <v>89</v>
      </c>
      <c r="N51" s="13" t="s">
        <v>88</v>
      </c>
      <c r="O51" s="13" t="s">
        <v>73</v>
      </c>
      <c r="P51" s="13" t="s">
        <v>87</v>
      </c>
      <c r="Q51" s="19">
        <v>1</v>
      </c>
      <c r="R51" s="18">
        <v>125</v>
      </c>
      <c r="S51" s="18">
        <v>2.5</v>
      </c>
    </row>
    <row r="52" spans="1:19">
      <c r="A52" s="20">
        <v>46020</v>
      </c>
      <c r="B52" s="20">
        <v>45870</v>
      </c>
      <c r="C52" s="20">
        <v>45900</v>
      </c>
      <c r="D52" s="13" t="s">
        <v>52</v>
      </c>
      <c r="E52" s="13" t="s">
        <v>5</v>
      </c>
      <c r="F52" s="13" t="s">
        <v>54</v>
      </c>
      <c r="G52" s="13" t="s">
        <v>53</v>
      </c>
      <c r="H52" s="13" t="s">
        <v>52</v>
      </c>
      <c r="I52" s="13" t="s">
        <v>51</v>
      </c>
      <c r="J52" s="13" t="s">
        <v>50</v>
      </c>
      <c r="K52" s="13" t="s">
        <v>49</v>
      </c>
      <c r="L52" s="13" t="s">
        <v>86</v>
      </c>
      <c r="M52" s="13" t="s">
        <v>85</v>
      </c>
      <c r="N52" s="13" t="s">
        <v>84</v>
      </c>
      <c r="O52" s="13" t="s">
        <v>73</v>
      </c>
      <c r="P52" s="13" t="s">
        <v>83</v>
      </c>
      <c r="Q52" s="19">
        <v>200</v>
      </c>
      <c r="R52" s="18">
        <v>1760</v>
      </c>
      <c r="S52" s="18">
        <v>88</v>
      </c>
    </row>
    <row r="53" spans="1:19">
      <c r="A53" s="20">
        <v>46020</v>
      </c>
      <c r="B53" s="20">
        <v>45931</v>
      </c>
      <c r="C53" s="20">
        <v>45961</v>
      </c>
      <c r="D53" s="13" t="s">
        <v>52</v>
      </c>
      <c r="E53" s="13" t="s">
        <v>5</v>
      </c>
      <c r="F53" s="13" t="s">
        <v>54</v>
      </c>
      <c r="G53" s="13" t="s">
        <v>53</v>
      </c>
      <c r="H53" s="13" t="s">
        <v>52</v>
      </c>
      <c r="I53" s="13" t="s">
        <v>51</v>
      </c>
      <c r="J53" s="13" t="s">
        <v>50</v>
      </c>
      <c r="K53" s="13" t="s">
        <v>49</v>
      </c>
      <c r="L53" s="13" t="s">
        <v>63</v>
      </c>
      <c r="M53" s="13" t="s">
        <v>62</v>
      </c>
      <c r="N53" s="13" t="s">
        <v>61</v>
      </c>
      <c r="O53" s="13" t="s">
        <v>45</v>
      </c>
      <c r="P53" s="13" t="s">
        <v>60</v>
      </c>
      <c r="Q53" s="19">
        <v>40</v>
      </c>
      <c r="R53" s="18">
        <v>4197.63</v>
      </c>
      <c r="S53" s="18">
        <v>276.43</v>
      </c>
    </row>
    <row r="54" spans="1:19">
      <c r="A54" s="20">
        <v>46020</v>
      </c>
      <c r="B54" s="20">
        <v>45931</v>
      </c>
      <c r="C54" s="20">
        <v>45961</v>
      </c>
      <c r="D54" s="13" t="s">
        <v>52</v>
      </c>
      <c r="E54" s="13" t="s">
        <v>5</v>
      </c>
      <c r="F54" s="13" t="s">
        <v>54</v>
      </c>
      <c r="G54" s="13" t="s">
        <v>53</v>
      </c>
      <c r="H54" s="13" t="s">
        <v>52</v>
      </c>
      <c r="I54" s="13" t="s">
        <v>51</v>
      </c>
      <c r="J54" s="13" t="s">
        <v>50</v>
      </c>
      <c r="K54" s="13" t="s">
        <v>49</v>
      </c>
      <c r="L54" s="13" t="s">
        <v>48</v>
      </c>
      <c r="M54" s="13" t="s">
        <v>47</v>
      </c>
      <c r="N54" s="13" t="s">
        <v>46</v>
      </c>
      <c r="O54" s="13" t="s">
        <v>45</v>
      </c>
      <c r="P54" s="13" t="s">
        <v>44</v>
      </c>
      <c r="Q54" s="19">
        <v>100</v>
      </c>
      <c r="R54" s="18">
        <v>730</v>
      </c>
      <c r="S54" s="18">
        <v>36.5</v>
      </c>
    </row>
    <row r="55" spans="1:19">
      <c r="A55" s="20">
        <v>45993</v>
      </c>
      <c r="B55" s="20">
        <v>45748</v>
      </c>
      <c r="C55" s="20">
        <v>45777</v>
      </c>
      <c r="D55" s="13" t="s">
        <v>52</v>
      </c>
      <c r="E55" s="13" t="s">
        <v>5</v>
      </c>
      <c r="F55" s="13" t="s">
        <v>54</v>
      </c>
      <c r="G55" s="13" t="s">
        <v>53</v>
      </c>
      <c r="H55" s="13" t="s">
        <v>52</v>
      </c>
      <c r="I55" s="13" t="s">
        <v>51</v>
      </c>
      <c r="J55" s="13" t="s">
        <v>50</v>
      </c>
      <c r="K55" s="13" t="s">
        <v>49</v>
      </c>
      <c r="L55" s="13" t="s">
        <v>86</v>
      </c>
      <c r="M55" s="13" t="s">
        <v>85</v>
      </c>
      <c r="N55" s="13" t="s">
        <v>84</v>
      </c>
      <c r="O55" s="13" t="s">
        <v>73</v>
      </c>
      <c r="P55" s="13" t="s">
        <v>83</v>
      </c>
      <c r="Q55" s="19">
        <v>350</v>
      </c>
      <c r="R55" s="18">
        <v>3500</v>
      </c>
      <c r="S55" s="18">
        <v>175</v>
      </c>
    </row>
    <row r="56" spans="1:19">
      <c r="A56" s="20">
        <v>45993</v>
      </c>
      <c r="B56" s="20">
        <v>45809</v>
      </c>
      <c r="C56" s="20">
        <v>45838</v>
      </c>
      <c r="D56" s="13" t="s">
        <v>52</v>
      </c>
      <c r="E56" s="13" t="s">
        <v>5</v>
      </c>
      <c r="F56" s="13" t="s">
        <v>54</v>
      </c>
      <c r="G56" s="13" t="s">
        <v>53</v>
      </c>
      <c r="H56" s="13" t="s">
        <v>52</v>
      </c>
      <c r="I56" s="13" t="s">
        <v>51</v>
      </c>
      <c r="J56" s="13" t="s">
        <v>50</v>
      </c>
      <c r="K56" s="13" t="s">
        <v>49</v>
      </c>
      <c r="L56" s="13" t="s">
        <v>86</v>
      </c>
      <c r="M56" s="13" t="s">
        <v>85</v>
      </c>
      <c r="N56" s="13" t="s">
        <v>84</v>
      </c>
      <c r="O56" s="13" t="s">
        <v>73</v>
      </c>
      <c r="P56" s="13" t="s">
        <v>83</v>
      </c>
      <c r="Q56" s="19">
        <v>400</v>
      </c>
      <c r="R56" s="18">
        <v>3520</v>
      </c>
      <c r="S56" s="18">
        <v>176</v>
      </c>
    </row>
    <row r="57" spans="1:19">
      <c r="A57" s="20">
        <v>45993</v>
      </c>
      <c r="B57" s="20">
        <v>45839</v>
      </c>
      <c r="C57" s="20">
        <v>45930</v>
      </c>
      <c r="D57" s="13" t="s">
        <v>52</v>
      </c>
      <c r="E57" s="13" t="s">
        <v>5</v>
      </c>
      <c r="F57" s="13" t="s">
        <v>54</v>
      </c>
      <c r="G57" s="13" t="s">
        <v>53</v>
      </c>
      <c r="H57" s="13" t="s">
        <v>52</v>
      </c>
      <c r="I57" s="13" t="s">
        <v>51</v>
      </c>
      <c r="J57" s="13" t="s">
        <v>50</v>
      </c>
      <c r="K57" s="13" t="s">
        <v>49</v>
      </c>
      <c r="L57" s="13" t="s">
        <v>82</v>
      </c>
      <c r="M57" s="13" t="s">
        <v>81</v>
      </c>
      <c r="N57" s="13" t="s">
        <v>80</v>
      </c>
      <c r="O57" s="13" t="s">
        <v>56</v>
      </c>
      <c r="P57" s="13" t="s">
        <v>79</v>
      </c>
      <c r="Q57" s="19">
        <v>256</v>
      </c>
      <c r="R57" s="18">
        <v>4481.8</v>
      </c>
      <c r="S57" s="18">
        <v>89.66</v>
      </c>
    </row>
    <row r="58" spans="1:19">
      <c r="A58" s="20">
        <v>45993</v>
      </c>
      <c r="B58" s="20">
        <v>45839</v>
      </c>
      <c r="C58" s="20">
        <v>45930</v>
      </c>
      <c r="D58" s="13" t="s">
        <v>52</v>
      </c>
      <c r="E58" s="13" t="s">
        <v>5</v>
      </c>
      <c r="F58" s="13" t="s">
        <v>54</v>
      </c>
      <c r="G58" s="13" t="s">
        <v>53</v>
      </c>
      <c r="H58" s="13" t="s">
        <v>52</v>
      </c>
      <c r="I58" s="13" t="s">
        <v>51</v>
      </c>
      <c r="J58" s="13" t="s">
        <v>50</v>
      </c>
      <c r="K58" s="13" t="s">
        <v>49</v>
      </c>
      <c r="L58" s="13" t="s">
        <v>78</v>
      </c>
      <c r="M58" s="13" t="s">
        <v>77</v>
      </c>
      <c r="N58" s="13" t="s">
        <v>76</v>
      </c>
      <c r="O58" s="13" t="s">
        <v>45</v>
      </c>
      <c r="P58" s="13" t="s">
        <v>75</v>
      </c>
      <c r="Q58" s="19">
        <v>270</v>
      </c>
      <c r="R58" s="18">
        <v>7093.89</v>
      </c>
      <c r="S58" s="18">
        <v>212.86</v>
      </c>
    </row>
    <row r="59" spans="1:19">
      <c r="A59" s="20">
        <v>45993</v>
      </c>
      <c r="B59" s="20">
        <v>45901</v>
      </c>
      <c r="C59" s="20">
        <v>45930</v>
      </c>
      <c r="D59" s="13" t="s">
        <v>52</v>
      </c>
      <c r="E59" s="13" t="s">
        <v>5</v>
      </c>
      <c r="F59" s="13" t="s">
        <v>54</v>
      </c>
      <c r="G59" s="13" t="s">
        <v>53</v>
      </c>
      <c r="H59" s="13" t="s">
        <v>52</v>
      </c>
      <c r="I59" s="13" t="s">
        <v>51</v>
      </c>
      <c r="J59" s="13" t="s">
        <v>50</v>
      </c>
      <c r="K59" s="13" t="s">
        <v>49</v>
      </c>
      <c r="L59" s="13" t="s">
        <v>63</v>
      </c>
      <c r="M59" s="13" t="s">
        <v>62</v>
      </c>
      <c r="N59" s="13" t="s">
        <v>61</v>
      </c>
      <c r="O59" s="13" t="s">
        <v>45</v>
      </c>
      <c r="P59" s="13" t="s">
        <v>60</v>
      </c>
      <c r="Q59" s="19">
        <v>39</v>
      </c>
      <c r="R59" s="18">
        <v>4007.31</v>
      </c>
      <c r="S59" s="18">
        <v>200.37</v>
      </c>
    </row>
    <row r="60" spans="1:19">
      <c r="A60" s="20">
        <v>45993</v>
      </c>
      <c r="B60" s="20">
        <v>45901</v>
      </c>
      <c r="C60" s="20">
        <v>45930</v>
      </c>
      <c r="D60" s="13" t="s">
        <v>52</v>
      </c>
      <c r="E60" s="13" t="s">
        <v>5</v>
      </c>
      <c r="F60" s="13" t="s">
        <v>54</v>
      </c>
      <c r="G60" s="13" t="s">
        <v>53</v>
      </c>
      <c r="H60" s="13" t="s">
        <v>52</v>
      </c>
      <c r="I60" s="13" t="s">
        <v>51</v>
      </c>
      <c r="J60" s="13" t="s">
        <v>50</v>
      </c>
      <c r="K60" s="13" t="s">
        <v>49</v>
      </c>
      <c r="L60" s="13" t="s">
        <v>59</v>
      </c>
      <c r="M60" s="13" t="s">
        <v>58</v>
      </c>
      <c r="N60" s="13" t="s">
        <v>74</v>
      </c>
      <c r="O60" s="13" t="s">
        <v>73</v>
      </c>
      <c r="P60" s="13" t="s">
        <v>55</v>
      </c>
      <c r="Q60" s="19">
        <v>11</v>
      </c>
      <c r="R60" s="18">
        <v>774.07</v>
      </c>
      <c r="S60" s="18">
        <v>154.81399999999999</v>
      </c>
    </row>
    <row r="61" spans="1:19">
      <c r="A61" s="20">
        <v>45993</v>
      </c>
      <c r="B61" s="20">
        <v>45901</v>
      </c>
      <c r="C61" s="20">
        <v>45930</v>
      </c>
      <c r="D61" s="13" t="s">
        <v>52</v>
      </c>
      <c r="E61" s="13" t="s">
        <v>5</v>
      </c>
      <c r="F61" s="13" t="s">
        <v>54</v>
      </c>
      <c r="G61" s="13" t="s">
        <v>53</v>
      </c>
      <c r="H61" s="13" t="s">
        <v>52</v>
      </c>
      <c r="I61" s="13" t="s">
        <v>51</v>
      </c>
      <c r="J61" s="13" t="s">
        <v>50</v>
      </c>
      <c r="K61" s="13" t="s">
        <v>49</v>
      </c>
      <c r="L61" s="13" t="s">
        <v>48</v>
      </c>
      <c r="M61" s="13" t="s">
        <v>47</v>
      </c>
      <c r="N61" s="13" t="s">
        <v>46</v>
      </c>
      <c r="O61" s="13" t="s">
        <v>45</v>
      </c>
      <c r="P61" s="13" t="s">
        <v>44</v>
      </c>
      <c r="Q61" s="19">
        <v>77</v>
      </c>
      <c r="R61" s="18">
        <v>562.1</v>
      </c>
      <c r="S61" s="18">
        <v>28.12</v>
      </c>
    </row>
    <row r="62" spans="1:19">
      <c r="A62" s="20">
        <v>45960</v>
      </c>
      <c r="B62" s="20">
        <v>45748</v>
      </c>
      <c r="C62" s="20">
        <v>45838</v>
      </c>
      <c r="D62" s="13" t="s">
        <v>52</v>
      </c>
      <c r="E62" s="13" t="s">
        <v>5</v>
      </c>
      <c r="F62" s="13" t="s">
        <v>54</v>
      </c>
      <c r="G62" s="13" t="s">
        <v>53</v>
      </c>
      <c r="H62" s="13" t="s">
        <v>52</v>
      </c>
      <c r="I62" s="13" t="s">
        <v>51</v>
      </c>
      <c r="J62" s="13" t="s">
        <v>50</v>
      </c>
      <c r="K62" s="13" t="s">
        <v>49</v>
      </c>
      <c r="L62" s="13" t="s">
        <v>72</v>
      </c>
      <c r="M62" s="13" t="s">
        <v>71</v>
      </c>
      <c r="N62" s="13" t="s">
        <v>70</v>
      </c>
      <c r="O62" s="13" t="s">
        <v>45</v>
      </c>
      <c r="P62" s="13" t="s">
        <v>69</v>
      </c>
      <c r="Q62" s="19">
        <v>133</v>
      </c>
      <c r="R62" s="18">
        <v>2762.51</v>
      </c>
      <c r="S62" s="18">
        <v>467.58150000000001</v>
      </c>
    </row>
    <row r="63" spans="1:19">
      <c r="A63" s="20">
        <v>45960</v>
      </c>
      <c r="B63" s="20">
        <v>45748</v>
      </c>
      <c r="C63" s="20">
        <v>45838</v>
      </c>
      <c r="D63" s="13" t="s">
        <v>52</v>
      </c>
      <c r="E63" s="13" t="s">
        <v>5</v>
      </c>
      <c r="F63" s="13" t="s">
        <v>54</v>
      </c>
      <c r="G63" s="13" t="s">
        <v>53</v>
      </c>
      <c r="H63" s="13" t="s">
        <v>52</v>
      </c>
      <c r="I63" s="13" t="s">
        <v>51</v>
      </c>
      <c r="J63" s="13" t="s">
        <v>50</v>
      </c>
      <c r="K63" s="13" t="s">
        <v>49</v>
      </c>
      <c r="L63" s="13" t="s">
        <v>68</v>
      </c>
      <c r="M63" s="13" t="s">
        <v>67</v>
      </c>
      <c r="N63" s="13" t="s">
        <v>66</v>
      </c>
      <c r="O63" s="13" t="s">
        <v>65</v>
      </c>
      <c r="P63" s="13" t="s">
        <v>64</v>
      </c>
      <c r="Q63" s="19">
        <v>1019</v>
      </c>
      <c r="R63" s="18">
        <v>1514838.5</v>
      </c>
      <c r="S63" s="18">
        <v>87062.84</v>
      </c>
    </row>
    <row r="64" spans="1:19">
      <c r="A64" s="20">
        <v>45960</v>
      </c>
      <c r="B64" s="20">
        <v>45839</v>
      </c>
      <c r="C64" s="20">
        <v>45869</v>
      </c>
      <c r="D64" s="13" t="s">
        <v>52</v>
      </c>
      <c r="E64" s="13" t="s">
        <v>5</v>
      </c>
      <c r="F64" s="13" t="s">
        <v>54</v>
      </c>
      <c r="G64" s="13" t="s">
        <v>53</v>
      </c>
      <c r="H64" s="13" t="s">
        <v>52</v>
      </c>
      <c r="I64" s="13" t="s">
        <v>51</v>
      </c>
      <c r="J64" s="13" t="s">
        <v>50</v>
      </c>
      <c r="K64" s="13" t="s">
        <v>49</v>
      </c>
      <c r="L64" s="13" t="s">
        <v>59</v>
      </c>
      <c r="M64" s="13" t="s">
        <v>58</v>
      </c>
      <c r="N64" s="13" t="s">
        <v>57</v>
      </c>
      <c r="O64" s="13" t="s">
        <v>56</v>
      </c>
      <c r="P64" s="13" t="s">
        <v>55</v>
      </c>
      <c r="Q64" s="19">
        <v>16</v>
      </c>
      <c r="R64" s="18">
        <v>1125.92</v>
      </c>
      <c r="S64" s="18">
        <v>112.592</v>
      </c>
    </row>
    <row r="65" spans="1:19">
      <c r="A65" s="20">
        <v>45960</v>
      </c>
      <c r="B65" s="20">
        <v>45870</v>
      </c>
      <c r="C65" s="20">
        <v>45900</v>
      </c>
      <c r="D65" s="13" t="s">
        <v>52</v>
      </c>
      <c r="E65" s="13" t="s">
        <v>5</v>
      </c>
      <c r="F65" s="13" t="s">
        <v>54</v>
      </c>
      <c r="G65" s="13" t="s">
        <v>53</v>
      </c>
      <c r="H65" s="13" t="s">
        <v>52</v>
      </c>
      <c r="I65" s="13" t="s">
        <v>51</v>
      </c>
      <c r="J65" s="13" t="s">
        <v>50</v>
      </c>
      <c r="K65" s="13" t="s">
        <v>49</v>
      </c>
      <c r="L65" s="13" t="s">
        <v>63</v>
      </c>
      <c r="M65" s="13" t="s">
        <v>62</v>
      </c>
      <c r="N65" s="13" t="s">
        <v>61</v>
      </c>
      <c r="O65" s="13" t="s">
        <v>45</v>
      </c>
      <c r="P65" s="13" t="s">
        <v>60</v>
      </c>
      <c r="Q65" s="19">
        <v>41</v>
      </c>
      <c r="R65" s="18">
        <v>4041.46</v>
      </c>
      <c r="S65" s="18">
        <v>202.08</v>
      </c>
    </row>
    <row r="66" spans="1:19">
      <c r="A66" s="20">
        <v>45960</v>
      </c>
      <c r="B66" s="20">
        <v>45870</v>
      </c>
      <c r="C66" s="20">
        <v>45900</v>
      </c>
      <c r="D66" s="13" t="s">
        <v>52</v>
      </c>
      <c r="E66" s="13" t="s">
        <v>5</v>
      </c>
      <c r="F66" s="13" t="s">
        <v>54</v>
      </c>
      <c r="G66" s="13" t="s">
        <v>53</v>
      </c>
      <c r="H66" s="13" t="s">
        <v>52</v>
      </c>
      <c r="I66" s="13" t="s">
        <v>51</v>
      </c>
      <c r="J66" s="13" t="s">
        <v>50</v>
      </c>
      <c r="K66" s="13" t="s">
        <v>49</v>
      </c>
      <c r="L66" s="13" t="s">
        <v>59</v>
      </c>
      <c r="M66" s="13" t="s">
        <v>58</v>
      </c>
      <c r="N66" s="13" t="s">
        <v>57</v>
      </c>
      <c r="O66" s="13" t="s">
        <v>56</v>
      </c>
      <c r="P66" s="13" t="s">
        <v>55</v>
      </c>
      <c r="Q66" s="19">
        <v>15</v>
      </c>
      <c r="R66" s="18">
        <v>1055.55</v>
      </c>
      <c r="S66" s="18">
        <v>105.55500000000001</v>
      </c>
    </row>
    <row r="67" spans="1:19">
      <c r="A67" s="20">
        <v>45960</v>
      </c>
      <c r="B67" s="20">
        <v>45870</v>
      </c>
      <c r="C67" s="20">
        <v>45900</v>
      </c>
      <c r="D67" s="13" t="s">
        <v>52</v>
      </c>
      <c r="E67" s="13" t="s">
        <v>5</v>
      </c>
      <c r="F67" s="13" t="s">
        <v>54</v>
      </c>
      <c r="G67" s="13" t="s">
        <v>53</v>
      </c>
      <c r="H67" s="13" t="s">
        <v>52</v>
      </c>
      <c r="I67" s="13" t="s">
        <v>51</v>
      </c>
      <c r="J67" s="13" t="s">
        <v>50</v>
      </c>
      <c r="K67" s="13" t="s">
        <v>49</v>
      </c>
      <c r="L67" s="13" t="s">
        <v>48</v>
      </c>
      <c r="M67" s="13" t="s">
        <v>47</v>
      </c>
      <c r="N67" s="13" t="s">
        <v>46</v>
      </c>
      <c r="O67" s="13" t="s">
        <v>45</v>
      </c>
      <c r="P67" s="13" t="s">
        <v>44</v>
      </c>
      <c r="Q67" s="19">
        <v>65</v>
      </c>
      <c r="R67" s="18">
        <v>474.5</v>
      </c>
      <c r="S67" s="18">
        <v>27.37</v>
      </c>
    </row>
    <row r="68" spans="1:19" s="14" customFormat="1">
      <c r="A68" s="17"/>
      <c r="B68" s="17"/>
      <c r="C68" s="17"/>
      <c r="Q68" s="16">
        <f>SUM(Q4:Q67)</f>
        <v>13521</v>
      </c>
      <c r="R68" s="15">
        <f>SUM(R4:R67)</f>
        <v>2757849.9699999997</v>
      </c>
      <c r="S68" s="15">
        <f>SUM(S4:S67)</f>
        <v>139175.17004999999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5ABD-3A8A-413C-B593-29561284C0C4}">
  <dimension ref="B6:D69"/>
  <sheetViews>
    <sheetView topLeftCell="A13" workbookViewId="0">
      <selection activeCell="B57" sqref="B57:D69"/>
    </sheetView>
  </sheetViews>
  <sheetFormatPr defaultRowHeight="12.75"/>
  <cols>
    <col min="1" max="1" width="9.140625" style="13"/>
    <col min="2" max="2" width="57.140625" style="13" bestFit="1" customWidth="1"/>
    <col min="3" max="3" width="20.85546875" style="13" bestFit="1" customWidth="1"/>
    <col min="4" max="4" width="22.42578125" style="13" bestFit="1" customWidth="1"/>
    <col min="5" max="16384" width="9.140625" style="13"/>
  </cols>
  <sheetData>
    <row r="6" spans="2:4">
      <c r="B6" s="23" t="s">
        <v>148</v>
      </c>
      <c r="C6" s="13" t="s">
        <v>147</v>
      </c>
      <c r="D6" s="13" t="s">
        <v>146</v>
      </c>
    </row>
    <row r="7" spans="2:4">
      <c r="B7" s="21" t="s">
        <v>126</v>
      </c>
      <c r="C7" s="18">
        <v>8967.8799999999992</v>
      </c>
      <c r="D7" s="18">
        <v>258.22456</v>
      </c>
    </row>
    <row r="8" spans="2:4">
      <c r="B8" s="22" t="s">
        <v>77</v>
      </c>
      <c r="C8" s="18">
        <v>707.28</v>
      </c>
      <c r="D8" s="18">
        <v>21.24</v>
      </c>
    </row>
    <row r="9" spans="2:4">
      <c r="B9" s="22" t="s">
        <v>71</v>
      </c>
      <c r="C9" s="18">
        <v>7.1</v>
      </c>
      <c r="D9" s="18">
        <v>0.71</v>
      </c>
    </row>
    <row r="10" spans="2:4">
      <c r="B10" s="22" t="s">
        <v>93</v>
      </c>
      <c r="C10" s="18">
        <v>1995.42</v>
      </c>
      <c r="D10" s="18">
        <v>119.29456</v>
      </c>
    </row>
    <row r="11" spans="2:4">
      <c r="B11" s="22" t="s">
        <v>67</v>
      </c>
      <c r="C11" s="18">
        <v>6134.48</v>
      </c>
      <c r="D11" s="18">
        <v>104.62</v>
      </c>
    </row>
    <row r="12" spans="2:4">
      <c r="B12" s="22" t="s">
        <v>108</v>
      </c>
      <c r="C12" s="18">
        <v>123.6</v>
      </c>
      <c r="D12" s="18">
        <v>12.36</v>
      </c>
    </row>
    <row r="13" spans="2:4">
      <c r="B13" s="21" t="s">
        <v>110</v>
      </c>
      <c r="C13" s="18">
        <v>462531.99000000005</v>
      </c>
      <c r="D13" s="18">
        <v>29529.540220000003</v>
      </c>
    </row>
    <row r="14" spans="2:4">
      <c r="B14" s="22" t="s">
        <v>98</v>
      </c>
      <c r="C14" s="18">
        <v>293535</v>
      </c>
      <c r="D14" s="18">
        <v>5479.82</v>
      </c>
    </row>
    <row r="15" spans="2:4">
      <c r="B15" s="22" t="s">
        <v>71</v>
      </c>
      <c r="C15" s="18">
        <v>9096.15</v>
      </c>
      <c r="D15" s="18">
        <v>1812.3510000000001</v>
      </c>
    </row>
    <row r="16" spans="2:4">
      <c r="B16" s="22" t="s">
        <v>58</v>
      </c>
      <c r="C16" s="18">
        <v>113.12</v>
      </c>
      <c r="D16" s="18">
        <v>11.311999999999999</v>
      </c>
    </row>
    <row r="17" spans="2:4">
      <c r="B17" s="22" t="s">
        <v>89</v>
      </c>
      <c r="C17" s="18">
        <v>500</v>
      </c>
      <c r="D17" s="18">
        <v>10</v>
      </c>
    </row>
    <row r="18" spans="2:4">
      <c r="B18" s="22" t="s">
        <v>93</v>
      </c>
      <c r="C18" s="18">
        <v>155204.20000000001</v>
      </c>
      <c r="D18" s="18">
        <v>22165.29722</v>
      </c>
    </row>
    <row r="19" spans="2:4">
      <c r="B19" s="22" t="s">
        <v>122</v>
      </c>
      <c r="C19" s="18">
        <v>306</v>
      </c>
      <c r="D19" s="18">
        <v>12.24</v>
      </c>
    </row>
    <row r="20" spans="2:4">
      <c r="B20" s="22" t="s">
        <v>67</v>
      </c>
      <c r="C20" s="18">
        <v>3759.02</v>
      </c>
      <c r="D20" s="18">
        <v>37.590000000000003</v>
      </c>
    </row>
    <row r="21" spans="2:4">
      <c r="B21" s="22" t="s">
        <v>62</v>
      </c>
      <c r="C21" s="18">
        <v>18.5</v>
      </c>
      <c r="D21" s="18">
        <v>0.93</v>
      </c>
    </row>
    <row r="22" spans="2:4">
      <c r="B22" s="21" t="s">
        <v>113</v>
      </c>
      <c r="C22" s="18">
        <v>25420.550000000003</v>
      </c>
      <c r="D22" s="18">
        <v>910.97375999999997</v>
      </c>
    </row>
    <row r="23" spans="2:4">
      <c r="B23" s="22" t="s">
        <v>85</v>
      </c>
      <c r="C23" s="18">
        <v>880</v>
      </c>
      <c r="D23" s="18">
        <v>44</v>
      </c>
    </row>
    <row r="24" spans="2:4">
      <c r="B24" s="22" t="s">
        <v>77</v>
      </c>
      <c r="C24" s="18">
        <v>415.52</v>
      </c>
      <c r="D24" s="18">
        <v>12.47</v>
      </c>
    </row>
    <row r="25" spans="2:4">
      <c r="B25" s="22" t="s">
        <v>93</v>
      </c>
      <c r="C25" s="18">
        <v>19758.400000000001</v>
      </c>
      <c r="D25" s="18">
        <v>810.39375999999993</v>
      </c>
    </row>
    <row r="26" spans="2:4">
      <c r="B26" s="22" t="s">
        <v>81</v>
      </c>
      <c r="C26" s="18">
        <v>43.75</v>
      </c>
      <c r="D26" s="18">
        <v>0.88</v>
      </c>
    </row>
    <row r="27" spans="2:4">
      <c r="B27" s="22" t="s">
        <v>67</v>
      </c>
      <c r="C27" s="18">
        <v>4322.88</v>
      </c>
      <c r="D27" s="18">
        <v>43.23</v>
      </c>
    </row>
    <row r="28" spans="2:4">
      <c r="B28" s="21" t="s">
        <v>118</v>
      </c>
      <c r="C28" s="18">
        <v>1500</v>
      </c>
      <c r="D28" s="18">
        <v>30</v>
      </c>
    </row>
    <row r="29" spans="2:4">
      <c r="B29" s="22" t="s">
        <v>89</v>
      </c>
      <c r="C29" s="18">
        <v>1500</v>
      </c>
      <c r="D29" s="18">
        <v>30</v>
      </c>
    </row>
    <row r="30" spans="2:4">
      <c r="B30" s="21" t="s">
        <v>105</v>
      </c>
      <c r="C30" s="18">
        <v>2059.73</v>
      </c>
      <c r="D30" s="18">
        <v>109.70743</v>
      </c>
    </row>
    <row r="31" spans="2:4">
      <c r="B31" s="22" t="s">
        <v>71</v>
      </c>
      <c r="C31" s="18">
        <v>56.8</v>
      </c>
      <c r="D31" s="18">
        <v>6.39</v>
      </c>
    </row>
    <row r="32" spans="2:4">
      <c r="B32" s="22" t="s">
        <v>93</v>
      </c>
      <c r="C32" s="18">
        <v>1791.83</v>
      </c>
      <c r="D32" s="18">
        <v>89.207430000000002</v>
      </c>
    </row>
    <row r="33" spans="2:4">
      <c r="B33" s="22" t="s">
        <v>81</v>
      </c>
      <c r="C33" s="18">
        <v>87.5</v>
      </c>
      <c r="D33" s="18">
        <v>1.75</v>
      </c>
    </row>
    <row r="34" spans="2:4">
      <c r="B34" s="22" t="s">
        <v>108</v>
      </c>
      <c r="C34" s="18">
        <v>123.6</v>
      </c>
      <c r="D34" s="18">
        <v>12.36</v>
      </c>
    </row>
    <row r="35" spans="2:4">
      <c r="B35" s="21" t="s">
        <v>103</v>
      </c>
      <c r="C35" s="18">
        <v>13940.33</v>
      </c>
      <c r="D35" s="18">
        <v>1158.2880000000002</v>
      </c>
    </row>
    <row r="36" spans="2:4">
      <c r="B36" s="22" t="s">
        <v>77</v>
      </c>
      <c r="C36" s="18">
        <v>196.74</v>
      </c>
      <c r="D36" s="18">
        <v>5.9</v>
      </c>
    </row>
    <row r="37" spans="2:4">
      <c r="B37" s="22" t="s">
        <v>71</v>
      </c>
      <c r="C37" s="18">
        <v>787.96</v>
      </c>
      <c r="D37" s="18">
        <v>88.117999999999995</v>
      </c>
    </row>
    <row r="38" spans="2:4">
      <c r="B38" s="22" t="s">
        <v>89</v>
      </c>
      <c r="C38" s="18">
        <v>250</v>
      </c>
      <c r="D38" s="18">
        <v>5</v>
      </c>
    </row>
    <row r="39" spans="2:4">
      <c r="B39" s="22" t="s">
        <v>67</v>
      </c>
      <c r="C39" s="18">
        <v>12705.63</v>
      </c>
      <c r="D39" s="18">
        <v>1059.2700000000002</v>
      </c>
    </row>
    <row r="40" spans="2:4">
      <c r="B40" s="21" t="s">
        <v>102</v>
      </c>
      <c r="C40" s="18">
        <v>20939.439999999999</v>
      </c>
      <c r="D40" s="18">
        <v>1223.27</v>
      </c>
    </row>
    <row r="41" spans="2:4">
      <c r="B41" s="22" t="s">
        <v>77</v>
      </c>
      <c r="C41" s="18">
        <v>2535.75</v>
      </c>
      <c r="D41" s="18">
        <v>76.09</v>
      </c>
    </row>
    <row r="42" spans="2:4">
      <c r="B42" s="22" t="s">
        <v>71</v>
      </c>
      <c r="C42" s="18">
        <v>433.72</v>
      </c>
      <c r="D42" s="18">
        <v>32.335999999999999</v>
      </c>
    </row>
    <row r="43" spans="2:4">
      <c r="B43" s="22" t="s">
        <v>58</v>
      </c>
      <c r="C43" s="18">
        <v>844.44</v>
      </c>
      <c r="D43" s="18">
        <v>84.444000000000003</v>
      </c>
    </row>
    <row r="44" spans="2:4">
      <c r="B44" s="22" t="s">
        <v>89</v>
      </c>
      <c r="C44" s="18">
        <v>375</v>
      </c>
      <c r="D44" s="18">
        <v>7.5</v>
      </c>
    </row>
    <row r="45" spans="2:4">
      <c r="B45" s="22" t="s">
        <v>81</v>
      </c>
      <c r="C45" s="18">
        <v>350</v>
      </c>
      <c r="D45" s="18">
        <v>7.01</v>
      </c>
    </row>
    <row r="46" spans="2:4">
      <c r="B46" s="22" t="s">
        <v>67</v>
      </c>
      <c r="C46" s="18">
        <v>16400.53</v>
      </c>
      <c r="D46" s="18">
        <v>1015.89</v>
      </c>
    </row>
    <row r="47" spans="2:4">
      <c r="B47" s="21" t="s">
        <v>116</v>
      </c>
      <c r="C47" s="18">
        <v>113.3</v>
      </c>
      <c r="D47" s="18">
        <v>2.27</v>
      </c>
    </row>
    <row r="48" spans="2:4">
      <c r="B48" s="22" t="s">
        <v>81</v>
      </c>
      <c r="C48" s="18">
        <v>113.3</v>
      </c>
      <c r="D48" s="18">
        <v>2.27</v>
      </c>
    </row>
    <row r="49" spans="2:4">
      <c r="B49" s="21" t="s">
        <v>124</v>
      </c>
      <c r="C49" s="18">
        <v>3919.45</v>
      </c>
      <c r="D49" s="18">
        <v>483.31236999999999</v>
      </c>
    </row>
    <row r="50" spans="2:4">
      <c r="B50" s="22" t="s">
        <v>93</v>
      </c>
      <c r="C50" s="18">
        <v>3919.45</v>
      </c>
      <c r="D50" s="18">
        <v>483.31236999999999</v>
      </c>
    </row>
    <row r="51" spans="2:4">
      <c r="B51" s="21" t="s">
        <v>100</v>
      </c>
      <c r="C51" s="18">
        <v>27645.96</v>
      </c>
      <c r="D51" s="18">
        <v>1019.31313</v>
      </c>
    </row>
    <row r="52" spans="2:4">
      <c r="B52" s="22" t="s">
        <v>77</v>
      </c>
      <c r="C52" s="18">
        <v>294.3</v>
      </c>
      <c r="D52" s="18">
        <v>8.83</v>
      </c>
    </row>
    <row r="53" spans="2:4">
      <c r="B53" s="22" t="s">
        <v>71</v>
      </c>
      <c r="C53" s="18">
        <v>899.16</v>
      </c>
      <c r="D53" s="18">
        <v>97.016000000000005</v>
      </c>
    </row>
    <row r="54" spans="2:4">
      <c r="B54" s="22" t="s">
        <v>89</v>
      </c>
      <c r="C54" s="18">
        <v>125</v>
      </c>
      <c r="D54" s="18">
        <v>2.5</v>
      </c>
    </row>
    <row r="55" spans="2:4">
      <c r="B55" s="22" t="s">
        <v>93</v>
      </c>
      <c r="C55" s="18">
        <v>15802.2</v>
      </c>
      <c r="D55" s="18">
        <v>758.68713000000002</v>
      </c>
    </row>
    <row r="56" spans="2:4">
      <c r="B56" s="22" t="s">
        <v>67</v>
      </c>
      <c r="C56" s="18">
        <v>10525.3</v>
      </c>
      <c r="D56" s="18">
        <v>152.28</v>
      </c>
    </row>
    <row r="57" spans="2:4">
      <c r="B57" s="21" t="s">
        <v>51</v>
      </c>
      <c r="C57" s="18">
        <v>2190811.34</v>
      </c>
      <c r="D57" s="18">
        <v>104450.27058000001</v>
      </c>
    </row>
    <row r="58" spans="2:4">
      <c r="B58" s="22" t="s">
        <v>98</v>
      </c>
      <c r="C58" s="18">
        <v>431117.28</v>
      </c>
      <c r="D58" s="18">
        <v>0.28999999999999998</v>
      </c>
    </row>
    <row r="59" spans="2:4">
      <c r="B59" s="22" t="s">
        <v>85</v>
      </c>
      <c r="C59" s="18">
        <v>8780</v>
      </c>
      <c r="D59" s="18">
        <v>439</v>
      </c>
    </row>
    <row r="60" spans="2:4">
      <c r="B60" s="22" t="s">
        <v>77</v>
      </c>
      <c r="C60" s="18">
        <v>7093.89</v>
      </c>
      <c r="D60" s="18">
        <v>212.86</v>
      </c>
    </row>
    <row r="61" spans="2:4">
      <c r="B61" s="22" t="s">
        <v>71</v>
      </c>
      <c r="C61" s="18">
        <v>2762.51</v>
      </c>
      <c r="D61" s="18">
        <v>467.58150000000001</v>
      </c>
    </row>
    <row r="62" spans="2:4">
      <c r="B62" s="22" t="s">
        <v>58</v>
      </c>
      <c r="C62" s="18">
        <v>2955.54</v>
      </c>
      <c r="D62" s="18">
        <v>372.96100000000001</v>
      </c>
    </row>
    <row r="63" spans="2:4">
      <c r="B63" s="22" t="s">
        <v>89</v>
      </c>
      <c r="C63" s="18">
        <v>125</v>
      </c>
      <c r="D63" s="18">
        <v>2.5</v>
      </c>
    </row>
    <row r="64" spans="2:4">
      <c r="B64" s="22" t="s">
        <v>93</v>
      </c>
      <c r="C64" s="18">
        <v>204643.82</v>
      </c>
      <c r="D64" s="18">
        <v>15031.70808</v>
      </c>
    </row>
    <row r="65" spans="2:4">
      <c r="B65" s="22" t="s">
        <v>81</v>
      </c>
      <c r="C65" s="18">
        <v>4481.8</v>
      </c>
      <c r="D65" s="18">
        <v>89.66</v>
      </c>
    </row>
    <row r="66" spans="2:4">
      <c r="B66" s="22" t="s">
        <v>67</v>
      </c>
      <c r="C66" s="18">
        <v>1514838.5</v>
      </c>
      <c r="D66" s="18">
        <v>87062.84</v>
      </c>
    </row>
    <row r="67" spans="2:4">
      <c r="B67" s="22" t="s">
        <v>62</v>
      </c>
      <c r="C67" s="18">
        <v>12246.400000000001</v>
      </c>
      <c r="D67" s="18">
        <v>678.88</v>
      </c>
    </row>
    <row r="68" spans="2:4">
      <c r="B68" s="22" t="s">
        <v>47</v>
      </c>
      <c r="C68" s="18">
        <v>1766.6</v>
      </c>
      <c r="D68" s="18">
        <v>91.990000000000009</v>
      </c>
    </row>
    <row r="69" spans="2:4">
      <c r="B69" s="21" t="s">
        <v>145</v>
      </c>
      <c r="C69" s="18">
        <v>2757849.97</v>
      </c>
      <c r="D69" s="18">
        <v>139175.17005000002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 Paid – General GPO &amp; Ph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Than</dc:creator>
  <cp:lastModifiedBy>Min Than</cp:lastModifiedBy>
  <dcterms:created xsi:type="dcterms:W3CDTF">2026-02-12T20:16:07Z</dcterms:created>
  <dcterms:modified xsi:type="dcterms:W3CDTF">2026-02-12T22:55:06Z</dcterms:modified>
</cp:coreProperties>
</file>