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kliebmann_montefiore_org/Documents/Documents/Current Projects/Supplemental Staffing/Savings/Fastaff/"/>
    </mc:Choice>
  </mc:AlternateContent>
  <xr:revisionPtr revIDLastSave="0" documentId="8_{21B155D1-D780-4843-9771-CA8549064544}" xr6:coauthVersionLast="47" xr6:coauthVersionMax="47" xr10:uidLastSave="{00000000-0000-0000-0000-000000000000}"/>
  <bookViews>
    <workbookView xWindow="28680" yWindow="-120" windowWidth="29040" windowHeight="17520" tabRatio="899" firstSheet="1" activeTab="1" xr2:uid="{00000000-000D-0000-FFFF-FFFF00000000}"/>
  </bookViews>
  <sheets>
    <sheet name="Instructions" sheetId="13" state="hidden" r:id="rId1"/>
    <sheet name="5) Client Tracker" sheetId="34" r:id="rId2"/>
    <sheet name="Check Request - Monte Multiples" sheetId="23" state="hidden" r:id="rId3"/>
    <sheet name="Check Request - Mt Vernon" sheetId="24" state="hidden" r:id="rId4"/>
    <sheet name="Check Request - New Rochelle." sheetId="25" state="hidden" r:id="rId5"/>
    <sheet name="Check Request - Nyack" sheetId="26" state="hidden" r:id="rId6"/>
    <sheet name="Check Request - St. Lukes" sheetId="27" state="hidden" r:id="rId7"/>
    <sheet name="Check Request - Westchester" sheetId="16" state="hidden" r:id="rId8"/>
    <sheet name="Check Request - Moses" sheetId="17" state="hidden" r:id="rId9"/>
    <sheet name="Check Request - Einstein" sheetId="18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____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__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_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_wrn3" hidden="1">{#N/A,#N/A,FALSE,"Aging Summary";#N/A,#N/A,FALSE,"Ratio Analysis";#N/A,#N/A,FALSE,"Test 120 Day Accts";#N/A,#N/A,FALSE,"Tickmarks"}</definedName>
    <definedName name="__FDS_HYPERLINK_TOGGLE_STATE__" hidden="1">"ON"</definedName>
    <definedName name="_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_IntlFixup" hidden="1">TRUE</definedName>
    <definedName name="__wrn3" hidden="1">{#N/A,#N/A,FALSE,"Aging Summary";#N/A,#N/A,FALSE,"Ratio Analysis";#N/A,#N/A,FALSE,"Test 120 Day Accts";#N/A,#N/A,FALSE,"Tickmarks"}</definedName>
    <definedName name="_15" hidden="1">{#N/A,#N/A,TRUE,"Summary";#N/A,#N/A,TRUE,"Financials"}</definedName>
    <definedName name="_16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17" hidden="1">{#N/A,#N/A,TRUE,"Summary";#N/A,#N/A,TRUE,"Financials";#N/A,#N/A,TRUE,"Assumptions";#N/A,#N/A,TRUE,"Pro Forma";#N/A,#N/A,TRUE,"Debt";#N/A,#N/A,TRUE,"Amortization";#N/A,#N/A,TRUE,"GG Returns"}</definedName>
    <definedName name="_18" hidden="1">{#N/A,#N/A,TRUE,"Summary";#N/A,#N/A,TRUE,"Assumptions";#N/A,#N/A,TRUE,"Comparison";#N/A,#N/A,TRUE,"Financials";#N/A,#N/A,TRUE,"Plan v. Act"}</definedName>
    <definedName name="_21" hidden="1">{#N/A,#N/A,TRUE,"Summary";#N/A,#N/A,TRUE,"Financials"}</definedName>
    <definedName name="_2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23" hidden="1">{#N/A,#N/A,TRUE,"Summary";#N/A,#N/A,TRUE,"Financials";#N/A,#N/A,TRUE,"Assumptions";#N/A,#N/A,TRUE,"Pro Forma";#N/A,#N/A,TRUE,"Debt";#N/A,#N/A,TRUE,"Amortization";#N/A,#N/A,TRUE,"GG Returns"}</definedName>
    <definedName name="_235" hidden="1">{#N/A,#N/A,TRUE,"Summary";#N/A,#N/A,TRUE,"Financials";#N/A,#N/A,TRUE,"Assumptions";#N/A,#N/A,TRUE,"Pro Forma";#N/A,#N/A,TRUE,"Debt";#N/A,#N/A,TRUE,"Amortization";#N/A,#N/A,TRUE,"GG Returns"}</definedName>
    <definedName name="_24" hidden="1">{#N/A,#N/A,TRUE,"Summary";#N/A,#N/A,TRUE,"Assumptions";#N/A,#N/A,TRUE,"Comparison";#N/A,#N/A,TRUE,"Financials";#N/A,#N/A,TRUE,"Plan v. Act"}</definedName>
    <definedName name="_73" hidden="1">{#N/A,#N/A,TRUE,"Summary";#N/A,#N/A,TRUE,"Financials"}</definedName>
    <definedName name="_A12" hidden="1">{#N/A,#N/A,TRUE,"Summary";#N/A,#N/A,TRUE,"Financials"}</definedName>
    <definedName name="_cap2" hidden="1">{#N/A,#N/A,FALSE,"Aging Summary";#N/A,#N/A,FALSE,"Ratio Analysis";#N/A,#N/A,FALSE,"Test 120 Day Accts";#N/A,#N/A,FALSE,"Tickmarks"}</definedName>
    <definedName name="_cp2000" hidden="1">{"CEOReportPart1",#N/A,FALSE,"Quarterly";"CEOReportPart2",#N/A,FALSE,"Quarterly";"CEOReportPart3",#N/A,FALSE,"Allocations"}</definedName>
    <definedName name="_cp20000" hidden="1">{"CEOReportPart1",#N/A,FALSE,"Quarterly";"CEOReportPart2",#N/A,FALSE,"Quarterly";"CEOReportPart3",#N/A,FALSE,"Allocations"}</definedName>
    <definedName name="_GSRATES_1" hidden="1">"CT300001Latest          "</definedName>
    <definedName name="_GSRATES_2" hidden="1">"CT300001Latest          "</definedName>
    <definedName name="_GSRATES_COUNT" hidden="1">2</definedName>
    <definedName name="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jeusn" hidden="1">{#N/A,#N/A,FALSE,"Aging Summary";#N/A,#N/A,FALSE,"Ratio Analysis";#N/A,#N/A,FALSE,"Test 120 Day Accts";#N/A,#N/A,FALSE,"Tickmarks"}</definedName>
    <definedName name="_la2" hidden="1">{"PR1","pr1",TRUE,"Sch PR-1"}</definedName>
    <definedName name="_no2" hidden="1">{#N/A,#N/A,FALSE,"BALANCE SHEET";#N/A,#N/A,FALSE,"IS";#N/A,#N/A,FALSE,"ISCOMPAR";#N/A,#N/A,FALSE,"ADD RETMAR";#N/A,#N/A,FALSE,"VARIOUS COMP";#N/A,#N/A,FALSE,"RATIOS";#N/A,#N/A,FALSE,"GRAPHS"}</definedName>
    <definedName name="_no3" hidden="1">{#N/A,#N/A,TRUE,"Summary";#N/A,#N/A,TRUE,"Appliances Summary";#N/A,#N/A,TRUE,"MRC Summary";#N/A,#N/A,TRUE,"Appliances";#N/A,#N/A,TRUE,"Appliances_YTD_Previous Mth";#N/A,#N/A,TRUE,"Mr. Coffee";#N/A,#N/A,TRUE,"MRC_YTD Prev Mth"}</definedName>
    <definedName name="_Order1" hidden="1">0</definedName>
    <definedName name="_Order2" hidden="1">255</definedName>
    <definedName name="_Regression_Int" hidden="1">1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a" hidden="1">{#N/A,#N/A,FALSE,"JULY WCE";#N/A,#N/A,FALSE,"Central - Doug July";#N/A,#N/A,FALSE,"East - Dave July";#N/A,#N/A,FALSE,"West - Lee - July"}</definedName>
    <definedName name="aaa" hidden="1">{"CSN M Detail",#N/A,FALSE,"Sch M Detail"}</definedName>
    <definedName name="AAA_DOCTOPS" hidden="1">"AAA_SET"</definedName>
    <definedName name="AAA_duser" hidden="1">"OFF"</definedName>
    <definedName name="aaaa" hidden="1">{#N/A,#N/A,FALSE,"JULY WCE";#N/A,#N/A,FALSE,"Central - Doug July";#N/A,#N/A,FALSE,"East - Dave July";#N/A,#N/A,FALSE,"West - Lee - July"}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cur">#REF!</definedName>
    <definedName name="adytd">#REF!</definedName>
    <definedName name="alt_report_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nscount" hidden="1">1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VersionLS" hidden="1">300</definedName>
    <definedName name="b" hidden="1">{#N/A,#N/A,FALSE,"JULY WCE";#N/A,#N/A,FALSE,"Central - Doug July";#N/A,#N/A,FALSE,"East - Dave July";#N/A,#N/A,FALSE,"West - Lee - July"}</definedName>
    <definedName name="bbb" hidden="1">{"CSN M Detail",#N/A,FALSE,"Sch M Detail"}</definedName>
    <definedName name="bbbb" hidden="1">{#N/A,#N/A,FALSE,"Aging Summary";#N/A,#N/A,FALSE,"Ratio Analysis";#N/A,#N/A,FALSE,"Test 120 Day Accts";#N/A,#N/A,FALSE,"Tickmarks"}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rry" hidden="1">{#N/A,#N/A,FALSE,"Taxblinc";#N/A,#N/A,FALSE,"Rsvsacls"}</definedName>
    <definedName name="BG_Del" hidden="1">15</definedName>
    <definedName name="BG_Ins" hidden="1">4</definedName>
    <definedName name="BG_Mod" hidden="1">6</definedName>
    <definedName name="blah" hidden="1">{"Form",#N/A,FALSE,"NB"}</definedName>
    <definedName name="blaha" hidden="1">{"Form",#N/A,FALSE,"PVN";"calculation",#N/A,FALSE,"PVN"}</definedName>
    <definedName name="cap" hidden="1">{#N/A,#N/A,FALSE,"Aging Summary";#N/A,#N/A,FALSE,"Ratio Analysis";#N/A,#N/A,FALSE,"Test 120 Day Accts";#N/A,#N/A,FALSE,"Tickmarks"}</definedName>
    <definedName name="cat" hidden="1">{#N/A,#N/A,FALSE,"Taxblinc";#N/A,#N/A,FALSE,"Rsvsacls"}</definedName>
    <definedName name="chik" hidden="1">{#N/A,#N/A,FALSE,"Summary";#N/A,#N/A,FALSE,"1991";#N/A,#N/A,FALSE,"91 AMT";#N/A,#N/A,FALSE,"1992";#N/A,#N/A,FALSE,"92 AMT";#N/A,#N/A,FALSE,"1993";#N/A,#N/A,FALSE,"93 AMT"}</definedName>
    <definedName name="cpm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cpq" hidden="1">{"Quarterly",#N/A,FALSE,"Quarterly"}</definedName>
    <definedName name="cps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cpy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Curascript" hidden="1">{#N/A,#N/A,FALSE,"Projections";#N/A,#N/A,FALSE,"Multiples Valuation";#N/A,#N/A,FALSE,"LBO";#N/A,#N/A,FALSE,"Multiples_Sensitivity";#N/A,#N/A,FALSE,"Summary"}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dog" hidden="1">{#N/A,#N/A,FALSE,"91NOLCB";#N/A,#N/A,FALSE,"92NOLCB";#N/A,#N/A,FALSE,"93NOLCB"}</definedName>
    <definedName name="eee.ooo" hidden="1">{"CSN M Detail",#N/A,FALSE,"Sch M Detail"}</definedName>
    <definedName name="eee.ppp" hidden="1">{"CSN M Detail",#N/A,FALSE,"Sch M Detail"}</definedName>
    <definedName name="eight" hidden="1">'[1]A-1 2009'!$H$26:$H$27</definedName>
    <definedName name="esnrc100c1_values" hidden="1">{"FTSE100","COMPANIES",TRUE}</definedName>
    <definedName name="esnrc33c1_values" hidden="1">{"EUMOT","COMPANIES",TRUE}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File" hidden="1">{#N/A,#N/A,FALSE,"Aging Summary";#N/A,#N/A,FALSE,"Ratio Analysis";#N/A,#N/A,FALSE,"Test 120 Day Accts";#N/A,#N/A,FALSE,"Tickmarks"}</definedName>
    <definedName name="FiscYr4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mattitles">#REF!</definedName>
    <definedName name="gross_margin">#REF!</definedName>
    <definedName name="hi" hidden="1">{"CSN M Detail",#N/A,FALSE,"Sch M Detail"}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40463.4573611111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38889.796400463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C5" hidden="1">"$C$6"</definedName>
    <definedName name="kk" hidden="1">{"Quarterly",#N/A,FALSE,"Quarterly"}</definedName>
    <definedName name="kkk" hidden="1">{"CSN M Detail",#N/A,FALSE,"Sch M Detail"}</definedName>
    <definedName name="kkk.pp" hidden="1">{"Ofcr Comp WP",#N/A,FALSE,"Ofcr Comp"}</definedName>
    <definedName name="l" hidden="1">{#N/A,#N/A,FALSE,"Aging Summary";#N/A,#N/A,FALSE,"Ratio Analysis";#N/A,#N/A,FALSE,"Test 120 Day Accts";#N/A,#N/A,FALSE,"Tickmarks"}</definedName>
    <definedName name="la" hidden="1">{#N/A,#N/A,FALSE,"Aging Summary";#N/A,#N/A,FALSE,"Ratio Analysis";#N/A,#N/A,FALSE,"Test 120 Day Accts";#N/A,#N/A,FALSE,"Tickmarks"}</definedName>
    <definedName name="LastYrSameDt">#REF!</definedName>
    <definedName name="leapyrday">#REF!</definedName>
    <definedName name="ListOffset" hidden="1">1</definedName>
    <definedName name="ll.pp" hidden="1">{"SchMpg1",#N/A,FALSE,"TR Sch M";"SchMpg2",#N/A,FALSE,"TR Sch M"}</definedName>
    <definedName name="lll.ll" hidden="1">{"SchMpg1",#N/A,FALSE,"TR Sch M";"SchMpg2",#N/A,FALSE,"TR Sch M"}</definedName>
    <definedName name="mlr" hidden="1">{#N/A,#N/A,FALSE,"JULY WCE";#N/A,#N/A,FALSE,"Central - Doug July";#N/A,#N/A,FALSE,"East - Dave July";#N/A,#N/A,FALSE,"West - Lee - July"}</definedName>
    <definedName name="mon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monst" hidden="1">{#N/A,#N/A,FALSE,"Cvr";#N/A,#N/A,FALSE,"P&amp;L summ2";#N/A,#N/A,FALSE,"CFO ";#N/A,#N/A,FALSE,"P&amp;L by BU";#N/A,#N/A,FALSE,"BS (Hardcoded)";#N/A,#N/A,FALSE,"CF-Hardcode";#N/A,#N/A,FALSE,"Highlights"}</definedName>
    <definedName name="net_inc">#REF!</definedName>
    <definedName name="new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newest" hidden="1">{"SchMpg1",#N/A,FALSE,"TR Sch M";"SchMpg2",#N/A,FALSE,"TR Sch M"}</definedName>
    <definedName name="newOther" hidden="1">{#N/A,#N/A,TRUE,"Corp";#N/A,#N/A,TRUE,"Direct";#N/A,#N/A,TRUE,"Allocations"}</definedName>
    <definedName name="nine" hidden="1">'[1]A-1 2009'!$H$33:$H$35</definedName>
    <definedName name="no" hidden="1">{#N/A,#N/A,TRUE,"Corp";#N/A,#N/A,TRUE,"Direct";#N/A,#N/A,TRUE,"Allocations"}</definedName>
    <definedName name="nol" hidden="1">{#N/A,#N/A,FALSE,"91NOLCB";#N/A,#N/A,FALSE,"92NOLCB";#N/A,#N/A,FALSE,"93NOLCB"}</definedName>
    <definedName name="npld">#REF!</definedName>
    <definedName name="npld1">#REF!</definedName>
    <definedName name="npld2">#REF!</definedName>
    <definedName name="NvsASD">"V2013-04-30"</definedName>
    <definedName name="NvsAutoDrillOk">"VN"</definedName>
    <definedName name="NvsElapsedTime">0.000254629630944692</definedName>
    <definedName name="NvsEndTime">41403.6713078704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"VUSNBU"</definedName>
    <definedName name="NvsPanelEffdt">"V2001-12-31"</definedName>
    <definedName name="NvsPanelSetid">"VSHARE"</definedName>
    <definedName name="NvsParentRef">"K_IS2!$$0"</definedName>
    <definedName name="NvsReqBU">"VFASCY"</definedName>
    <definedName name="NvsReqBUOnly">"VY"</definedName>
    <definedName name="NvsTransLed">"VN"</definedName>
    <definedName name="NvsTreeASD">"V2013-04-30"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"DEPT_TBL"</definedName>
    <definedName name="NvsValTbl.DESCR">"GL_ACCT_ALL_VW"</definedName>
    <definedName name="NvsValTbl.STATISTICS_CODE">"STAT_TBL"</definedName>
    <definedName name="ok" hidden="1">{#N/A,#N/A,FALSE,"Aging Summary";#N/A,#N/A,FALSE,"Ratio Analysis";#N/A,#N/A,FALSE,"Test 120 Day Accts";#N/A,#N/A,FALSE,"Tickmarks"}</definedName>
    <definedName name="one" hidden="1">[2]DAC!$AA$36:$AA$37,[2]DAC!$AH$59,[2]DAC!$V$64</definedName>
    <definedName name="PeriodEndDate">#REF!</definedName>
    <definedName name="PeriodEndDtFmt">#REF!</definedName>
    <definedName name="PeriodEndDtText">#REF!</definedName>
    <definedName name="PeriodName">#REF!</definedName>
    <definedName name="PerNo">#REF!</definedName>
    <definedName name="PerNoText">#REF!</definedName>
    <definedName name="phil" hidden="1">{#N/A,#N/A,TRUE,"Summary";#N/A,#N/A,TRUE,"Assumptions";#N/A,#N/A,TRUE,"Comparison";#N/A,#N/A,TRUE,"Financials";#N/A,#N/A,TRUE,"Plan v. Act"}</definedName>
    <definedName name="pots" hidden="1">{"Ofcr Comp Stmt 4",#N/A,FALSE,"Ofcr Comp"}</definedName>
    <definedName name="_xlnm.Print_Area" localSheetId="2">'Check Request - Monte Multiples'!$A$1:$D$44</definedName>
    <definedName name="pro" hidden="1">{#N/A,#N/A,FALSE,"PROJSUM";#N/A,#N/A,FALSE,"1450";#N/A,#N/A,FALSE,"2430";#N/A,#N/A,FALSE,"2700"}</definedName>
    <definedName name="q" hidden="1">{#N/A,#N/A,FALSE,"JULY WCE";#N/A,#N/A,FALSE,"Central - Doug July";#N/A,#N/A,FALSE,"East - Dave July";#N/A,#N/A,FALSE,"West - Lee - July"}</definedName>
    <definedName name="QryCollections___Excelv2">#REF!</definedName>
    <definedName name="qua" hidden="1">{"Quarterly",#N/A,FALSE,"Quarterly"}</definedName>
    <definedName name="report_area">#REF!</definedName>
    <definedName name="ReportGroup" hidden="1">0</definedName>
    <definedName name="RevModel2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SAPBEXdnldView" hidden="1">"44TIHISKDVAESWFGXCYF719ND"</definedName>
    <definedName name="SAPBEXsysID" hidden="1">"BWP"</definedName>
    <definedName name="ScopeDesc">#REF!</definedName>
    <definedName name="ScopeValue">#REF!</definedName>
    <definedName name="seven" hidden="1">'[1]A-1 2009'!$H$28:$H$29</definedName>
    <definedName name="sha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en" hidden="1">'[1]A-1 2009'!$H$30:$H$31</definedName>
    <definedName name="test" hidden="1">{#N/A,#N/A,TRUE,"Summary";#N/A,#N/A,TRUE,"Financials"}</definedName>
    <definedName name="test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test3" hidden="1">{#N/A,#N/A,TRUE,"Summary";#N/A,#N/A,TRUE,"Financials";#N/A,#N/A,TRUE,"Assumptions";#N/A,#N/A,TRUE,"Pro Forma";#N/A,#N/A,TRUE,"Debt";#N/A,#N/A,TRUE,"Amortization";#N/A,#N/A,TRUE,"GG Returns"}</definedName>
    <definedName name="test4" hidden="1">{#N/A,#N/A,TRUE,"Summary";#N/A,#N/A,TRUE,"Assumptions";#N/A,#N/A,TRUE,"Comparison";#N/A,#N/A,TRUE,"Financials";#N/A,#N/A,TRUE,"Plan v. Act"}</definedName>
    <definedName name="TextRefCopyRangeCount" hidden="1">8</definedName>
    <definedName name="three" hidden="1">[2]DAC!$C$60,[2]DAC!$C$36:$C$37</definedName>
    <definedName name="total_admn">#REF!</definedName>
    <definedName name="tt" hidden="1">{#N/A,#N/A,TRUE,"Corp";#N/A,#N/A,TRUE,"Direct";#N/A,#N/A,TRUE,"Allocations"}</definedName>
    <definedName name="ttt" hidden="1">{#N/A,#N/A,TRUE,"Corp";#N/A,#N/A,TRUE,"Direct";#N/A,#N/A,TRUE,"Allocations"}</definedName>
    <definedName name="tttt" hidden="1">{#N/A,#N/A,FALSE,"BALANCE SHEET";#N/A,#N/A,FALSE,"IS";#N/A,#N/A,FALSE,"ISCOMPAR";#N/A,#N/A,FALSE,"ADD RETMAR";#N/A,#N/A,FALSE,"VARIOUS COMP";#N/A,#N/A,FALSE,"RATIOS";#N/A,#N/A,FALSE,"GRAPHS"}</definedName>
    <definedName name="tttttt" hidden="1">{#N/A,#N/A,TRUE,"Summary";#N/A,#N/A,TRUE,"Appliances Summary";#N/A,#N/A,TRUE,"MRC Summary";#N/A,#N/A,TRUE,"Appliances";#N/A,#N/A,TRUE,"Appliances_YTD_Previous Mth";#N/A,#N/A,TRUE,"Mr. Coffee";#N/A,#N/A,TRUE,"MRC_YTD Prev Mth"}</definedName>
    <definedName name="ttttttt" hidden="1">{#N/A,#N/A,TRUE,"Corp";#N/A,#N/A,TRUE,"Direct";#N/A,#N/A,TRUE,"Allocations"}</definedName>
    <definedName name="two" hidden="1">[2]DAC!$AH$60,[2]DAC!$AA$13</definedName>
    <definedName name="w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eb" hidden="1">{#N/A,#N/A,FALSE,"Taxblinc";#N/A,#N/A,FALSE,"Rsvsacls"}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y" hidden="1">{#N/A,#N/A,FALSE,"Annuities";#N/A,#N/A,FALSE,"SPDA"}</definedName>
    <definedName name="wrn" hidden="1">{"CEOReportPart1",#N/A,FALSE,"Quarterly";"CEOReportPart2",#N/A,FALSE,"Quarterly";"CEOReportPart3",#N/A,FALSE,"Allocations"}</definedName>
    <definedName name="wrn.1996._.Budget._.Support._.Schedules." hidden="1">{#N/A,#N/A,FALSE,"Revenue";#N/A,#N/A,FALSE,"Scientific Consult and Collabor";#N/A,#N/A,FALSE,"Development costs";#N/A,#N/A,FALSE,"Lab Supl. Alloc";#N/A,#N/A,FALSE,"Facilities Expense";#N/A,#N/A,FALSE,"Equip Exp";#N/A,#N/A,FALSE,"T&amp;E";#N/A,#N/A,FALSE,"Prof fees";#N/A,#N/A,FALSE,"Capex accounts";#N/A,#N/A,FALSE,"Capex list"}</definedName>
    <definedName name="wrn.95PROV." hidden="1">{#N/A,#N/A,FALSE,"Taxblinc";#N/A,#N/A,FALSE,"Rsvsacls"}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TRECONS." hidden="1">{#N/A,#N/A,FALSE,"1110";#N/A,#N/A,FALSE,"1120";#N/A,#N/A,FALSE,"1140";#N/A,#N/A,FALSE,"1150";#N/A,#N/A,FALSE,"chalmers";#N/A,#N/A,FALSE,"gentner";#N/A,#N/A,FALSE,"1230";#N/A,#N/A,FALSE,"PPD INS";#N/A,#N/A,FALSE,"1260";#N/A,#N/A,FALSE,"PPD SVC";#N/A,#N/A,FALSE,"1950";#N/A,#N/A,FALSE,"1960";#N/A,#N/A,FALSE,"2040";#N/A,#N/A,FALSE,"2165";#N/A,#N/A,FALSE,"2200";#N/A,#N/A,FALSE,"2300-2590";#N/A,#N/A,FALSE,"2410";#N/A,#N/A,FALSE,"2600";#N/A,#N/A,FALSE,"3030";#N/A,#N/A,FALSE,"3-31 Adj";#N/A,#N/A,FALSE,"3800";#N/A,#N/A,FALSE,"3850 (REG D)";#N/A,#N/A,FALSE,"3850 (IPO)";#N/A,#N/A,FALSE,"3910-1000";#N/A,#N/A,FALSE,"3950";#N/A,#N/A,FALSE,"3-31 Adj";#N/A,#N/A,FALSE,"Consult and Colab";#N/A,#N/A,FALSE,"Seminars and Cont Ed";#N/A,#N/A,FALSE,"LEASES"}</definedName>
    <definedName name="wrn.Admin._.Schedules." hidden="1">{#N/A,#N/A,TRUE,"Corp";#N/A,#N/A,TRUE,"Direct";#N/A,#N/A,TRUE,"Allocations"}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Funds." hidden="1">{#N/A,#N/A,FALSE,"Annuities";#N/A,#N/A,FALSE,"SPDA";#N/A,#N/A,FALSE,"UL-Career";#N/A,#N/A,FALSE,"UL-IMO";#N/A,#N/A,FALSE,"UL-HS";#N/A,#N/A,FALSE,"UL-BML";#N/A,#N/A,FALSE,"UL-TMD";#N/A,#N/A,FALSE,"UL-RMN";#N/A,#N/A,FALSE,"DL-ISWL";#N/A,#N/A,FALSE,"SOV UL";#N/A,#N/A,FALSE,"SOV INT SENS";#N/A,#N/A,FALSE,"SOV SPWL";#N/A,#N/A,FALSE,"SOV SPWL (TA)";#N/A,#N/A,FALSE,"VUL-Career";#N/A,#N/A,FALSE,"VUL-IMO";#N/A,#N/A,FALSE,"VUL-RMN";#N/A,#N/A,FALSE,"VUL-HS";#N/A,#N/A,FALSE,"VUL-BML";#N/A,#N/A,FALSE,"VUL TOT";#N/A,#N/A,FALSE,"TOT UL - Vantage";#N/A,#N/A,FALSE,"SOV&amp;DL TOT";#N/A,#N/A,FALSE,"TOT RMN DIRECT"}</definedName>
    <definedName name="wrn.AllModels." hidden="1">{#N/A,#N/A,FALSE,"AD_Purchase";#N/A,#N/A,FALSE,"Credit";#N/A,#N/A,FALSE,"PF Acquisition";#N/A,#N/A,FALSE,"PF Offering"}</definedName>
    <definedName name="wrn.AMTNOL." hidden="1">{#N/A,#N/A,TRUE,"91AMTNOL";#N/A,#N/A,TRUE,"92AMTNOL";#N/A,#N/A,TRUE,"93AMTNOL"}</definedName>
    <definedName name="wrn.Annuities." hidden="1">{#N/A,#N/A,FALSE,"Annuities";#N/A,#N/A,FALSE,"SPDA"}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N." hidden="1">{#N/A,#N/A,FALSE,"ASN YTD";#N/A,#N/A,FALSE,"122 DOS MD HP HMO";#N/A,#N/A,FALSE,"122 UR MD HP HMO";#N/A,#N/A,FALSE,"123 DOS MD HP TPA";#N/A,#N/A,FALSE,"123 UR MD HP TPA";#N/A,#N/A,FALSE,"124 DOS MD HP Medicaid";#N/A,#N/A,FALSE,"124 UR MD HP Medicaid";#N/A,#N/A,FALSE,"131 DOS MD HP HMO-OON";#N/A,#N/A,FALSE,"131 UR MD HP HMO-OON";#N/A,#N/A,FALSE,"133 DOS MD HP WC";#N/A,#N/A,FALSE,"133 UR MD HP WC";#N/A,#N/A,FALSE,"135 DOS MD HP TPA-OON";#N/A,#N/A,FALSE,"135 UR MD HP TPA-OON";#N/A,#N/A,FALSE,"136 DOS MD HP Medicaid-OON";#N/A,#N/A,FALSE,"136 UR MD HP Medicaid-OON";#N/A,#N/A,FALSE,"141 DOS MD HP POS OON";#N/A,#N/A,FALSE,"141 UR MD HP POS OON";#N/A,#N/A,FALSE,"142 DOS MD HP Indemnity";#N/A,#N/A,FALSE,"142 UR MD HP Indemnity"}</definedName>
    <definedName name="wrn.ASO." hidden="1">{"ASO 1996",#N/A,FALSE,"DOS YTD";#N/A,#N/A,FALSE,"19-20-21-39-47 DOS MetLife";#N/A,#N/A,FALSE,"19-20-21-39-47 UR MetLife";#N/A,#N/A,FALSE,"24 DOS PacifiCare of CA PPO";#N/A,#N/A,FALSE,"24 UR PacifiCare of CA PPO";#N/A,#N/A,FALSE,"25 DOS Lincoln Hospital";#N/A,#N/A,FALSE,"25 UR Lincoln Hospital";#N/A,#N/A,FALSE,"31 DOS Blue Cross Rural";#N/A,#N/A,FALSE,"31 UR Blue Cross Rural";#N/A,#N/A,FALSE,"40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Nationwide";#N/A,#N/A,FALSE,"102 DOS CIGNA for Seniors";#N/A,#N/A,FALSE,"102 UR CIGNA for Seniors";#N/A,#N/A,FALSE,"111 DOS Prudential PG&amp;E";#N/A,#N/A,FALSE,"111 UR Prudential PG&amp;E";#N/A,#N/A,FALSE,"114 DOS CA Firefighters";#N/A,#N/A,FALSE,"114 UR CA Firefighters";#N/A,#N/A,FALSE,"121 DOS HPR Plus";#N/A,#N/A,FALSE,"121 UR HPR Plus";#N/A,#N/A,FALSE,"163 DOS Sceet-Blue Cross";#N/A,#N/A,FALSE,"163 UR Sceet-Blue Cross";#N/A,#N/A,FALSE,"164 DOS Prudential Healthcare";#N/A,#N/A,FALSE,"164 UR Prudential Healthcare"}</definedName>
    <definedName name="wrn.ASO1." hidden="1">{"ASO",#N/A,FALSE,"1995 YTD";#N/A,#N/A,FALSE,"20-39-47 DOS MetLife";#N/A,#N/A,FALSE,"20-39-47 UR MetLife";#N/A,#N/A,FALSE,"25 DOS Lincoln Hospital";#N/A,#N/A,FALSE,"25 UR Lincoln Hospital";#N/A,#N/A,FALSE,"31 DOS Blue Cross Rural";#N/A,#N/A,FALSE,"31 UR Blue Cross Rural";#N/A,#N/A,FALSE,"33 DOS Pacificare";#N/A,#N/A,FALSE,"33 UR PacifiCare";#N/A,#N/A,FALSE,"40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Trust";#N/A,#N/A,FALSE,"50 DOS CIGNA AZ Flex";#N/A,#N/A,FALSE,"50 UR CIGNA AZ Flex";#N/A,#N/A,FALSE,"51 DOS Mid Americare";#N/A,#N/A,FALSE,"51 UR Mid Americare";#N/A,#N/A,FALSE,"60 DOS Prudential";#N/A,#N/A,FALSE,"60 UR Prudential";#N/A,#N/A,FALSE,"62 DOS NWNL";#N/A,#N/A,FALSE,"62 UR NWNL";#N/A,#N/A,FALSE,"63 DOS Samaritan Plus";#N/A,#N/A,FALSE,"63 UR Samaritan Plus";#N/A,#N/A,FALSE,"64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Nationwide";#N/A,#N/A,FALSE,"90 DOS Aetna PPO";#N/A,#N/A,FALSE,"90 UR Aetna PPO";#N/A,#N/A,FALSE,"91 DOS Aetna POS";#N/A,#N/A,FALSE,"91 UR Aetna POS";#N/A,#N/A,FALSE,"94 DOS Aetna Amdahl";#N/A,#N/A,FALSE,"94 UR Aetna Amdahl";#N/A,#N/A,FALSE,"102 DOS CIGNA for Seniors";#N/A,#N/A,FALSE,"102 UR CIGNA for Seniors";#N/A,#N/A,FALSE,"111 DOS Prudential PG&amp;E";#N/A,#N/A,FALSE,"111 UR Prudential PG&amp;E";#N/A,#N/A,FALSE,"114 DOS CA Firefighters";#N/A,#N/A,FALSE,"114 UR CA Firefighters"}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verageVols." hidden="1">{#N/A,#N/A,FALSE,"Volatility";#N/A,#N/A,FALSE,"Weighted Dividend Yield"}</definedName>
    <definedName name="wrn.AXPValution." hidden="1">{"Form",#N/A,FALSE,"AXP";"calculation",#N/A,FALSE,"AXP"}</definedName>
    <definedName name="wrn.BACValuation." hidden="1">{"form",#N/A,FALSE,"BAC";"calculations",#N/A,FALSE,"BAC"}</definedName>
    <definedName name="wrn.basics." hidden="1">{#N/A,#N/A,FALSE,"TSUM";#N/A,#N/A,FALSE,"shares";#N/A,#N/A,FALSE,"earnout";#N/A,#N/A,FALSE,"Heaty";#N/A,#N/A,FALSE,"self-tend";#N/A,#N/A,FALSE,"self-sum"}</definedName>
    <definedName name="wrn.BNLValuation." hidden="1">{"Form",#N/A,FALSE,"BNL";"calculation",#N/A,FALSE,"BNL"}</definedName>
    <definedName name="wrn.BT._.Sch._.M._.Detail." hidden="1">{"Sch M Detail",#N/A,FALSE,"Sch M Detail"}</definedName>
    <definedName name="wrn.BTValuation." hidden="1">{"Form",#N/A,FALSE,"BT";"calculation",#N/A,FALSE,"BT"}</definedName>
    <definedName name="wrn.bullshit1." hidden="1">{#N/A,#N/A,FALSE,"Sheet1";#N/A,#N/A,FALSE,"Summary";#N/A,#N/A,FALSE,"proj1";#N/A,#N/A,FALSE,"proj2"}</definedName>
    <definedName name="wrn.Capitated." hidden="1">{"HMO",#N/A,FALSE,"1995 YTD";#N/A,#N/A,FALSE,"1995 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HMO"}</definedName>
    <definedName name="wrn.CCIValuation." hidden="1">{"form",#N/A,FALSE,"CCI";"calculation",#N/A,FALSE,"CCI"}</definedName>
    <definedName name="wrn.CEOReport." hidden="1">{"CEOReportPart1",#N/A,FALSE,"Quarterly";"CEOReportPart2",#N/A,FALSE,"Quarterly";"CEOReportPart3",#N/A,FALSE,"Allocations"}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onsbud." hidden="1">{#N/A,#N/A,FALSE,"INC STMT";#N/A,#N/A,FALSE,"SOCF";#N/A,#N/A,FALSE,"OTHER"}</definedName>
    <definedName name="wrn.contributory._.asset._.charges." hidden="1">{"contributory1",#N/A,FALSE,"Contributory Assets Detail";"contributory2",#N/A,FALSE,"Contributory Assets Detail"}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1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1quarterly" hidden="1">{"Quarterly",#N/A,FALSE,"Quarterly"}</definedName>
    <definedName name="wrn.cp1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1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2ceoreport" hidden="1">{"CEOReportPart1",#N/A,FALSE,"Quarterly";"CEOReportPart2",#N/A,FALSE,"Quarterly";"CEOReportPart3",#N/A,FALSE,"Allocations"}</definedName>
    <definedName name="wrn.cp2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2quarterly" hidden="1">{"Quarterly",#N/A,FALSE,"Quarterly"}</definedName>
    <definedName name="wrn.cp2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2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3.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3ceoreport" hidden="1">{"CEOReportPart1",#N/A,FALSE,"Quarterly";"CEOReportPart2",#N/A,FALSE,"Quarterly";"CEOReportPart3",#N/A,FALSE,"Allocations"}</definedName>
    <definedName name="wrn.cp3quarterly" hidden="1">{"Quarterly",#N/A,FALSE,"Quarterly"}</definedName>
    <definedName name="wrn.cp3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3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pceoreport" hidden="1">{"CEOReportPart1",#N/A,FALSE,"Quarterly";"CEOReportPart2",#N/A,FALSE,"Quarterly";"CEOReportPart3",#N/A,FALSE,"Allocations"}</definedName>
    <definedName name="wrn.cpmonthly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cpquarterly" hidden="1">{"Quarterly",#N/A,FALSE,"Quarterly"}</definedName>
    <definedName name="wrn.cpshareholder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cp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.CSN._.M._.Detail." hidden="1">{"CSN M Detail",#N/A,FALSE,"Sch M Detail"}</definedName>
    <definedName name="wrn.Customer_base." hidden="1">{"customer base",#N/A,FALSE,"customer_base";"customer base perf estimates",#N/A,FALSE,"customer_base"}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preciation." hidden="1">{"DE_asfiled",#N/A,TRUE,"Amort.";"IRS_addl",#N/A,TRUE,"Amort."}</definedName>
    <definedName name="wrn.documentation." hidden="1">{"documentation1",#N/A,FALSE,"Documentation";"documentation2",#N/A,FALSE,"Documentation"}</definedName>
    <definedName name="wrn.DPI._.Summary." hidden="1">{#N/A,#N/A,TRUE,"Summary";#N/A,#N/A,TRUE,"Financials"}</definedName>
    <definedName name="wrn.DruckAlle." hidden="1">{#N/A,#N/A,FALSE,"Grafik";#N/A,#N/A,FALSE,"Eckdaten";#N/A,#N/A,FALSE,"GuV";#N/A,#N/A,FALSE,"GuV_M";#N/A,#N/A,FALSE,"BILANZ_M";#N/A,#N/A,FALSE,"CFM";#N/A,#N/A,FALSE,"AE_M";#N/A,#N/A,FALSE,"MA_M"}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d._.4797." hidden="1">{"Fed 4797",#N/A,FALSE,"4797"}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NMValuation." hidden="1">{"form",#N/A,FALSE,"FNM";"calculation",#N/A,FALSE,"FNM"}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_.report." hidden="1">{#N/A,#N/A,TRUE,"notes";"tax income",#N/A,TRUE,"Current_federal";"federal tax",#N/A,TRUE,"Current_federal";"state tax",#N/A,TRUE,"Current_state";"credit",#N/A,TRUE,"Credit"}</definedName>
    <definedName name="wrn.GECValuation." hidden="1">{"form",#N/A,FALSE,"GEC";"calculation",#N/A,FALSE,"GEC"}</definedName>
    <definedName name="wrn.GRNValuation." hidden="1">{"form",#N/A,FALSE,"GRN";"calculation",#N/A,FALSE,"GRN"}</definedName>
    <definedName name="wrn.HEAT." hidden="1">{#N/A,#N/A,FALSE,"Heat";#N/A,#N/A,FALSE,"DCF";#N/A,#N/A,FALSE,"LBO";#N/A,#N/A,FALSE,"A";#N/A,#N/A,FALSE,"C";#N/A,#N/A,FALSE,"impd";#N/A,#N/A,FALSE,"Accr-Dilu"}</definedName>
    <definedName name="wrn.HMO." hidden="1">{#N/A,#N/A,FALSE,"DOS YTD";#N/A,#N/A,FALSE,"UR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HMO";#N/A,#N/A,FALSE,"115 DOS Kaiser No CA";#N/A,#N/A,FALSE,"115 UR Kaiser No CA";#N/A,#N/A,FALSE,"116 DOS Kaiser So CA";#N/A,#N/A,FALSE,"116 UR Kaiser So CA";#N/A,#N/A,FALSE,"117 DOS Blue Shield";#N/A,#N/A,FALSE,"117 UR Blue Shield";#N/A,#N/A,FALSE,"118 DOS HP of the Redwoods";#N/A,#N/A,FALSE,"118 UR HP of the Redwoods";#N/A,#N/A,FALSE,"120 DOS HPR Medi Prime";#N/A,#N/A,FALSE,"120 UR HPR Medi Prime";#N/A,#N/A,FALSE,"126 DOS Pru Sr Plan No CA";#N/A,#N/A,FALSE,"126 UR Pru Sr Plan No CA";#N/A,#N/A,FALSE,"127 DOS Pru Sr Plan So CA";#N/A,#N/A,FALSE,"127 UR Pru Sr Plan So CA";#N/A,#N/A,FALSE,"137 DOS Aetna MC II";#N/A,#N/A,FALSE,"137 UR Aetna MC II"}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PMValuation." hidden="1">{"Form",#N/A,FALSE,"JPM";"calculation",#N/A,FALSE,"JPM"}</definedName>
    <definedName name="wrn.July." hidden="1">{#N/A,#N/A,FALSE,"JULY WCE";#N/A,#N/A,FALSE,"Central - Doug July";#N/A,#N/A,FALSE,"East - Dave July";#N/A,#N/A,FALSE,"West - Lee - July"}</definedName>
    <definedName name="wrn.June." hidden="1">{#N/A,#N/A,FALSE,"Central - Doug June";#N/A,#N/A,FALSE,"East - Dave June";#N/A,#N/A,FALSE,"West - Lee - June";#N/A,#N/A,FALSE,"JUNE WCE"}</definedName>
    <definedName name="wrn.KEMValuation." hidden="1">{"Form",#N/A,FALSE,"KEM";"calculation",#N/A,FALSE,"KEM"}</definedName>
    <definedName name="wrn.Kpl._.Monatsbericht." hidden="1">{#N/A,#N/A,FALSE,"I";#N/A,#N/A,FALSE,"GuV";#N/A,#N/A,FALSE,"GuV_M";#N/A,#N/A,FALSE,"GuV_MJÜ";#N/A,#N/A,FALSE,"BILANZ";#N/A,#N/A,FALSE,"BILANZ_M";#N/A,#N/A,FALSE,"BILANZ_MJÜ";#N/A,#N/A,FALSE,"CF";#N/A,#N/A,FALSE,"CFM";#N/A,#N/A,FALSE,"MA_OP";#N/A,#N/A,FALSE,"MA_M";#N/A,#N/A,FALSE,"OP_M";#N/A,#N/A,FALSE,"AE";#N/A,#N/A,FALSE,"AE_M"}</definedName>
    <definedName name="wrn.LTRValuation." hidden="1">{"Form",#N/A,FALSE,"LTR"}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MCValuation." hidden="1">{"Form",#N/A,FALSE,"MMC";"calculation",#N/A,FALSE,"MMC"}</definedName>
    <definedName name="wrn.Monthly." hidden="1">{"YearEndSummary",#N/A,FALSE,"SUMMARY";"MonthlyGrossMargin",#N/A,FALSE,"Gross Margin";"MonthlySales",#N/A,FALSE,"Sales";"YearEndStaffCosts",#N/A,FALSE,"Staff Costs";"MonthlyOperatingCosts",#N/A,FALSE,"Operating Costs";"MonthlySalaries",#N/A,FALSE,"Salaries";"MonthlyTravel",#N/A,FALSE,"Travel";"MonthlyPitches",#N/A,FALSE,"Pitches";"MonthlyAllocations",#N/A,FALSE,"Allocations"}</definedName>
    <definedName name="wrn.Monthly._.Report." hidden="1">{#N/A,#N/A,TRUE,"Summary";#N/A,#N/A,TRUE,"Appliances Summary";#N/A,#N/A,TRUE,"MRC Summary";#N/A,#N/A,TRUE,"Appliances";#N/A,#N/A,TRUE,"Appliances_YTD_Previous Mth";#N/A,#N/A,TRUE,"Mr. Coffee";#N/A,#N/A,TRUE,"MRC_YTD Prev Mth"}</definedName>
    <definedName name="wrn.Monthly._.ST." hidden="1">{#N/A,#N/A,FALSE,"Cvr";#N/A,#N/A,FALSE,"P&amp;L summ2";#N/A,#N/A,FALSE,"CFO ";#N/A,#N/A,FALSE,"P&amp;L by BU";#N/A,#N/A,FALSE,"BS (Hardcoded)";#N/A,#N/A,FALSE,"CF-Hardcode";#N/A,#N/A,FALSE,"Highlights"}</definedName>
    <definedName name="wrn.N.O.L.." hidden="1">{#N/A,#N/A,FALSE,"91NOLCB";#N/A,#N/A,FALSE,"92NOLCB";#N/A,#N/A,FALSE,"93NOLCB"}</definedName>
    <definedName name="wrn.NBValuation." hidden="1">{"Form",#N/A,FALSE,"NB"}</definedName>
    <definedName name="wrn.Neurocrine._.1995._.Dept.._.Budgets." hidden="1">{#N/A,#N/A,TRUE,"Consolidated";#N/A,#N/A,TRUE,"Consolidating";#N/A,#N/A,TRUE,"Corp. Admin";#N/A,#N/A,TRUE,"R&amp;D Admin.";#N/A,#N/A,TRUE,"Immunology";#N/A,#N/A,TRUE,"Neuroscience";#N/A,#N/A,TRUE,"Molec. Bio.";#N/A,#N/A,TRUE,"Peptide Chem.";#N/A,#N/A,TRUE,"Med. Chem.";#N/A,#N/A,TRUE,"Development"}</definedName>
    <definedName name="wrn.newest." hidden="1">{#N/A,#N/A,TRUE,"TS";#N/A,#N/A,TRUE,"Combo";#N/A,#N/A,TRUE,"FAIR";#N/A,#N/A,TRUE,"RBC";#N/A,#N/A,TRUE,"xxxx"}</definedName>
    <definedName name="wrn.Ofcr._.Comp._.Stmt._.4." hidden="1">{"Ofcr Comp Stmt 4",#N/A,FALSE,"Ofcr Comp"}</definedName>
    <definedName name="wrn.Ofcr._.Comp._.WP." hidden="1">{"Ofcr Comp WP",#N/A,FALSE,"Ofcr Comp"}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pportunity._.Assessment." hidden="1">{#N/A,#N/A,TRUE,"Summary";#N/A,#N/A,TRUE,"Assumptions";#N/A,#N/A,TRUE,"Comparison";#N/A,#N/A,TRUE,"Financials";#N/A,#N/A,TRUE,"Plan v. Act"}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FAS." hidden="1">{"UL",#N/A,FALSE,"UL-RMN";"DL",#N/A,FALSE,"DL-ISWL";"VUL",#N/A,FALSE,"VUL-RMN";"Annuities",#N/A,FALSE,"Annuities"}</definedName>
    <definedName name="wrn.Print._.All." hidden="1">{#N/A,#N/A,FALSE,"JUNE WCE";#N/A,#N/A,FALSE,"Central - Doug June";#N/A,#N/A,FALSE,"East - Dave June";#N/A,#N/A,FALSE,"West - Lee - June";#N/A,#N/A,FALSE,"JULY WCE";#N/A,#N/A,FALSE,"Central - Doug July";#N/A,#N/A,FALSE,"East - Dave July";#N/A,#N/A,FALSE,"West - Lee - July";#N/A,#N/A,FALSE,"Utilization"}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OJECT._.SUMMARY." hidden="1">{#N/A,#N/A,FALSE,"PROJSUM";#N/A,#N/A,FALSE,"1450";#N/A,#N/A,FALSE,"2430";#N/A,#N/A,FALSE,"2700"}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VNValuation." hidden="1">{"Form",#N/A,FALSE,"PVN";"calculation",#N/A,FALSE,"PVN"}</definedName>
    <definedName name="wrn.Quarterly." hidden="1">{"Payroll Qtr 94",#N/A,FALSE,"Personnel Expenses";"Payroll Qtr 95",#N/A,FALSE,"Personnel Expenses";"Payroll Qtr 96",#N/A,FALSE,"Personnel Expenses";"Relo Qtr 95",#N/A,FALSE,"Personnel Expenses";"Relo Qtr 96",#N/A,FALSE,"Personnel Expenses";"Statistics Qtr 94",#N/A,FALSE,"Personnel Expenses";"Statistics Qtr 95",#N/A,FALSE,"Personnel Expenses";"Statistics Qtr 96",#N/A,FALSE,"Personnel Expenses";"Summary Qtr 94",#N/A,FALSE,"Personnel Expenses";"Summary Qtr 95",#N/A,FALSE,"Personnel Expenses";"Summary Qtr 96",#N/A,FALSE,"Personnel Expenses"}</definedName>
    <definedName name="wrn.RELEVANTSHEETS." hidden="1">{#N/A,#N/A,FALSE,"AD_Purch";#N/A,#N/A,FALSE,"Projections";#N/A,#N/A,FALSE,"DCF";#N/A,#N/A,FALSE,"Mkt Val"}</definedName>
    <definedName name="wrn.Report_PR_1." hidden="1">{"PR1","pr1",TRUE,"Sch PR-1"}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SchM." hidden="1">{"SchMpg1",#N/A,FALSE,"TR Sch M";"SchMpg2",#N/A,FALSE,"TR Sch M"}</definedName>
    <definedName name="wrn.shareholder." hidden="1">{#N/A,#N/A,TRUE,"Highlights";#N/A,#N/A,TRUE,"Cmp to PY";#N/A,#N/A,TRUE,"Top Level P&amp;L";#N/A,#N/A,TRUE,"P&amp;L by BU";#N/A,#N/A,TRUE,"% OF SALES";#N/A,#N/A,TRUE,"Curr Mon Sum";#N/A,#N/A,TRUE,"Current Month";#N/A,#N/A,TRUE,"Balance Sheet"}</definedName>
    <definedName name="wrn.summary._.schedules." hidden="1">{"summary1",#N/A,FALSE,"Summary of Values";"summary2",#N/A,FALSE,"Summary of Values"}</definedName>
    <definedName name="wrn.TAValuation." hidden="1">{"Form",#N/A,FALSE,"TA";"calculation",#N/A,FALSE,"TA"}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st." hidden="1">{"test2",#N/A,TRUE,"Prices"}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5CompensationComparisons." hidden="1">{"CEO Comp.",#N/A,FALSE,"CO.&amp;PERS. INFO.";"SecondHighestPaid",#N/A,FALSE,"CO.&amp;PERS. INFO.";"ThirdHighestPaid",#N/A,FALSE,"CO.&amp;PERS. INFO.";"FourthHighestPaid",#N/A,FALSE,"CO.&amp;PERS. INFO.";"FifthHighestPaid",#N/A,FALSE,"CO.&amp;PERS. INFO."}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RMNDirect." hidden="1">{#N/A,#N/A,FALSE,"UL-RMN";#N/A,#N/A,FALSE,"DL-ISWL";#N/A,#N/A,FALSE,"SOV UL";#N/A,#N/A,FALSE,"SOV INT SENS";#N/A,#N/A,FALSE,"SOV SPWL";#N/A,#N/A,FALSE,"TOT RMN DIRECT"}</definedName>
    <definedName name="wrn.trademark._.and._.trade._.name." hidden="1">{"trademark1",#N/A,FALSE,"Trademark(s) and Trade Name(s)"}</definedName>
    <definedName name="wrn.TransPrcd_123." hidden="1">{#N/A,#N/A,TRUE,"TransPrcd 1";#N/A,#N/A,TRUE,"TransPrcd 2";#N/A,#N/A,TRUE,"TransPrcd 3"}</definedName>
    <definedName name="wrn.ULFundRolls." hidden="1">{#N/A,#N/A,FALSE,"UL-Career";#N/A,#N/A,FALSE,"UL-IMO";#N/A,#N/A,FALSE,"UL-HS";#N/A,#N/A,FALSE,"UL-BML";#N/A,#N/A,FALSE,"UL-TMD";#N/A,#N/A,FALSE,"UL-RMN";#N/A,#N/A,FALSE,"TOT UL - Vantage"}</definedName>
    <definedName name="wrn.VALUATION." hidden="1">{#N/A,#N/A,FALSE,"Pooling";#N/A,#N/A,FALSE,"income";#N/A,#N/A,FALSE,"valuation"}</definedName>
    <definedName name="wrn.VULFundRolls." hidden="1">{#N/A,#N/A,FALSE,"VUL-Career";#N/A,#N/A,FALSE,"VUL-IMO";#N/A,#N/A,FALSE,"VUL-RMN";#N/A,#N/A,FALSE,"VUL-HS";#N/A,#N/A,FALSE,"VUL-BML";#N/A,#N/A,FALSE,"VUL TOT"}</definedName>
    <definedName name="wrn.wara." hidden="1">{"weighted average returns",#N/A,FALSE,"WACC and WARA"}</definedName>
    <definedName name="wrn.wicor." hidden="1">{#N/A,#N/A,FALSE,"FACTSHEETS";#N/A,#N/A,FALSE,"pump";#N/A,#N/A,FALSE,"filter"}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._.4797." hidden="1">{"WP 4797",#N/A,FALSE,"4797"}</definedName>
    <definedName name="wrn.WW._.M._.Detail." hidden="1">{"WW M Detail",#N/A,FALSE,"Sch M Detail"}</definedName>
    <definedName name="wrn.Year._.End.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wrn1.all._Sheets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ww.wki" hidden="1">{"CSN M Detail",#N/A,FALSE,"Sch M Detail"}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x" hidden="1">{#N/A,#N/A,FALSE,"Annuities";#N/A,#N/A,FALSE,"SPDA"}</definedName>
    <definedName name="xc" hidden="1">{#N/A,#N/A,FALSE,"Annuities";#N/A,#N/A,FALSE,"SPDA";#N/A,#N/A,FALSE,"UL-Career";#N/A,#N/A,FALSE,"UL-IMO";#N/A,#N/A,FALSE,"UL-HS";#N/A,#N/A,FALSE,"UL-BML";#N/A,#N/A,FALSE,"UL-TMD";#N/A,#N/A,FALSE,"UL-RMN";#N/A,#N/A,FALSE,"DL-ISWL";#N/A,#N/A,FALSE,"SOV UL";#N/A,#N/A,FALSE,"SOV INT SENS";#N/A,#N/A,FALSE,"SOV SPWL";#N/A,#N/A,FALSE,"SOV SPWL (TA)";#N/A,#N/A,FALSE,"VUL-Career";#N/A,#N/A,FALSE,"VUL-IMO";#N/A,#N/A,FALSE,"VUL-RMN";#N/A,#N/A,FALSE,"VUL-HS";#N/A,#N/A,FALSE,"VUL-BML";#N/A,#N/A,FALSE,"VUL TOT";#N/A,#N/A,FALSE,"TOT UL - Vantage";#N/A,#N/A,FALSE,"SOV&amp;DL TOT";#N/A,#N/A,FALSE,"TOT RMN DIRECT"}</definedName>
    <definedName name="XRefColumnsCount" hidden="1">6</definedName>
    <definedName name="XRefCopyRangeCount" hidden="1">1</definedName>
    <definedName name="XRefPasteRangeCount" hidden="1">12</definedName>
    <definedName name="xx" hidden="1">{#N/A,#N/A,FALSE,"Annuities";#N/A,#N/A,FALSE,"SPDA"}</definedName>
    <definedName name="xxx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xxxx" hidden="1">{#N/A,#N/A,FALSE,"UL-RMN";#N/A,#N/A,FALSE,"DL-ISWL";#N/A,#N/A,FALSE,"SOV UL";#N/A,#N/A,FALSE,"SOV INT SENS";#N/A,#N/A,FALSE,"SOV SPWL";#N/A,#N/A,FALSE,"TOT RMN DIRECT"}</definedName>
    <definedName name="xxxxx" hidden="1">{#N/A,#N/A,FALSE,"UL-Career";#N/A,#N/A,FALSE,"UL-IMO";#N/A,#N/A,FALSE,"UL-HS";#N/A,#N/A,FALSE,"UL-BML";#N/A,#N/A,FALSE,"UL-TMD";#N/A,#N/A,FALSE,"UL-RMN";#N/A,#N/A,FALSE,"TOT UL - Vantage"}</definedName>
    <definedName name="xxxxxxx" hidden="1">{#N/A,#N/A,FALSE,"VUL-Career";#N/A,#N/A,FALSE,"VUL-IMO";#N/A,#N/A,FALSE,"VUL-RMN";#N/A,#N/A,FALSE,"VUL-HS";#N/A,#N/A,FALSE,"VUL-BML";#N/A,#N/A,FALSE,"VUL TOT"}</definedName>
    <definedName name="ye" hidden="1">{"YearEndSummary",#N/A,FALSE,"SUMMARY";"YearEndGrossMargin",#N/A,FALSE,"Gross Margin";"YearEndSales",#N/A,FALSE,"Sales";"YearEndStaffCosts",#N/A,FALSE,"Staff Costs";"YearEndOperatingCosts",#N/A,FALSE,"Operating Costs";"YearEndSalaries",#N/A,FALSE,"Salaries";"YearEndTravel",#N/A,FALSE,"Travel";"YearEndPitches",#N/A,FALSE,"Pitches";"YearEndAllocations",#N/A,FALSE,"Allocations"}</definedName>
    <definedName name="yy" hidden="1">{#N/A,#N/A,FALSE,"BALANCE SHEET";#N/A,#N/A,FALSE,"IS";#N/A,#N/A,FALSE,"ISCOMPAR";#N/A,#N/A,FALSE,"ADD RETMAR";#N/A,#N/A,FALSE,"VARIOUS COMP";#N/A,#N/A,FALSE,"RATIOS";#N/A,#N/A,FALSE,"GRAPHS"}</definedName>
    <definedName name="yyy" hidden="1">{#N/A,#N/A,TRUE,"Summary";#N/A,#N/A,TRUE,"Appliances Summary";#N/A,#N/A,TRUE,"MRC Summary";#N/A,#N/A,TRUE,"Appliances";#N/A,#N/A,TRUE,"Appliances_YTD_Previous Mth";#N/A,#N/A,TRUE,"Mr. Coffee";#N/A,#N/A,TRUE,"MRC_YTD Prev Mth"}</definedName>
    <definedName name="Z_407AFB88_1810_11D1_990B_00C04FDEB630_.wvu.Cols" hidden="1">[3]AE_M!$A$1:$F$65536,[3]AE_M!$J$1:$J$65536,[3]AE_M!$X$1:$CJ$65536</definedName>
    <definedName name="Z_407AFB88_1810_11D1_990B_00C04FDEB630_.wvu.Rows" hidden="1">[3]AE_M!$A$1:$IV$7</definedName>
    <definedName name="Z_407AFB89_1810_11D1_990B_00C04FDEB630_.wvu.Cols" hidden="1">[3]AE_M!$A$1:$F$65536,[3]AE_M!$J$1:$W$65536,[3]AE_M!$AK$1:$CJ$65536</definedName>
    <definedName name="Z_407AFB89_1810_11D1_990B_00C04FDEB630_.wvu.Rows" hidden="1">[3]AE_M!$A$1:$IV$7</definedName>
    <definedName name="Z_407AFB8A_1810_11D1_990B_00C04FDEB630_.wvu.Cols" hidden="1">[3]AE_M!$A$1:$F$65536,[3]AE_M!$J$1:$AJ$65536,[3]AE_M!$AX$1:$CJ$65536</definedName>
    <definedName name="Z_407AFB8A_1810_11D1_990B_00C04FDEB630_.wvu.Rows" hidden="1">[3]AE_M!$A$1:$IV$7</definedName>
    <definedName name="Z_407AFB8B_1810_11D1_990B_00C04FDEB630_.wvu.Cols" hidden="1">[3]AE_M!$A$1:$F$65536,[3]AE_M!$J$1:$AW$65536,[3]AE_M!$BK$1:$CJ$65536</definedName>
    <definedName name="Z_407AFB8B_1810_11D1_990B_00C04FDEB630_.wvu.Rows" hidden="1">[3]AE_M!$A$1:$IV$7</definedName>
    <definedName name="Z_407AFB8C_1810_11D1_990B_00C04FDEB630_.wvu.Cols" hidden="1">[3]AE_M!$A$1:$F$65536,[3]AE_M!$J$1:$BJ$65536,[3]AE_M!$BX$1:$CJ$65536</definedName>
    <definedName name="Z_407AFB8C_1810_11D1_990B_00C04FDEB630_.wvu.Rows" hidden="1">[3]AE_M!$A$1:$IV$7</definedName>
    <definedName name="Z_407AFB8D_1810_11D1_990B_00C04FDEB630_.wvu.Cols" hidden="1">[3]AE_M!$A$1:$F$65536,[3]AE_M!$J$1:$BW$65536</definedName>
    <definedName name="Z_407AFB8D_1810_11D1_990B_00C04FDEB630_.wvu.Rows" hidden="1">[3]AE_M!$A$1:$IV$7</definedName>
    <definedName name="Z_4A0948C8_1750_11D1_990B_00C04FDEB630_.wvu.Cols" hidden="1">[3]AE_M!$A$1:$F$65536,[3]AE_M!$J$1:$J$65536,[3]AE_M!$X$1:$CJ$65536</definedName>
    <definedName name="Z_4A0948C8_1750_11D1_990B_00C04FDEB630_.wvu.Rows" hidden="1">[3]AE_M!$A$1:$IV$7</definedName>
    <definedName name="Z_4A0948C9_1750_11D1_990B_00C04FDEB630_.wvu.Cols" hidden="1">[3]AE_M!$A$1:$F$65536,[3]AE_M!$J$1:$W$65536,[3]AE_M!$AK$1:$CJ$65536</definedName>
    <definedName name="Z_4A0948C9_1750_11D1_990B_00C04FDEB630_.wvu.Rows" hidden="1">[3]AE_M!$A$1:$IV$7</definedName>
    <definedName name="Z_4A0948CA_1750_11D1_990B_00C04FDEB630_.wvu.Cols" hidden="1">[3]AE_M!$A$1:$F$65536,[3]AE_M!$J$1:$AJ$65536,[3]AE_M!$AX$1:$CJ$65536</definedName>
    <definedName name="Z_4A0948CA_1750_11D1_990B_00C04FDEB630_.wvu.Rows" hidden="1">[3]AE_M!$A$1:$IV$7</definedName>
    <definedName name="Z_4A0948CB_1750_11D1_990B_00C04FDEB630_.wvu.Cols" hidden="1">[3]AE_M!$A$1:$F$65536,[3]AE_M!$J$1:$AW$65536,[3]AE_M!$BK$1:$CJ$65536</definedName>
    <definedName name="Z_4A0948CB_1750_11D1_990B_00C04FDEB630_.wvu.Rows" hidden="1">[3]AE_M!$A$1:$IV$7</definedName>
    <definedName name="Z_4A0948CC_1750_11D1_990B_00C04FDEB630_.wvu.Cols" hidden="1">[3]AE_M!$A$1:$F$65536,[3]AE_M!$J$1:$BJ$65536,[3]AE_M!$BX$1:$CJ$65536</definedName>
    <definedName name="Z_4A0948CC_1750_11D1_990B_00C04FDEB630_.wvu.Rows" hidden="1">[3]AE_M!$A$1:$IV$7</definedName>
    <definedName name="Z_4A0948CD_1750_11D1_990B_00C04FDEB630_.wvu.Cols" hidden="1">[3]AE_M!$A$1:$F$65536,[3]AE_M!$J$1:$BW$65536</definedName>
    <definedName name="Z_4A0948CD_1750_11D1_990B_00C04FDEB630_.wvu.Rows" hidden="1">[3]AE_M!$A$1:$IV$7</definedName>
    <definedName name="Z_4A0948D4_1750_11D1_990B_00C04FDEB630_.wvu.Cols" hidden="1">[3]CFM!$A$1:$F$65536,[3]CFM!$J$1:$J$65536,[3]CFM!$X$1:$CJ$65536</definedName>
    <definedName name="Z_4A0948D4_1750_11D1_990B_00C04FDEB630_.wvu.Rows" hidden="1">[3]CFM!$A$1:$IV$7</definedName>
    <definedName name="Z_4A0948D5_1750_11D1_990B_00C04FDEB630_.wvu.Cols" hidden="1">[3]CFM!$A$1:$F$65536,[3]CFM!$J$1:$W$65536,[3]CFM!$AK$1:$CJ$65536</definedName>
    <definedName name="Z_4A0948D5_1750_11D1_990B_00C04FDEB630_.wvu.Rows" hidden="1">[3]CFM!$A$1:$IV$7</definedName>
    <definedName name="Z_4A0948D6_1750_11D1_990B_00C04FDEB630_.wvu.Cols" hidden="1">[3]CFM!$A$1:$F$65536,[3]CFM!$J$1:$AJ$65536,[3]CFM!$AX$1:$CJ$65536</definedName>
    <definedName name="Z_4A0948D6_1750_11D1_990B_00C04FDEB630_.wvu.Rows" hidden="1">[3]CFM!$A$1:$IV$7</definedName>
    <definedName name="Z_4A0948D7_1750_11D1_990B_00C04FDEB630_.wvu.Cols" hidden="1">[3]CFM!$A$1:$F$65536,[3]CFM!$J$1:$AW$65536,[3]CFM!$BK$1:$CJ$65536</definedName>
    <definedName name="Z_4A0948D7_1750_11D1_990B_00C04FDEB630_.wvu.Rows" hidden="1">[3]CFM!$A$1:$IV$7</definedName>
    <definedName name="Z_4A0948D8_1750_11D1_990B_00C04FDEB630_.wvu.Cols" hidden="1">[3]CFM!$A$1:$F$65536,[3]CFM!$J$1:$BJ$65536,[3]CFM!$BX$1:$CJ$65536</definedName>
    <definedName name="Z_4A0948D8_1750_11D1_990B_00C04FDEB630_.wvu.Rows" hidden="1">[3]CFM!$A$1:$IV$7</definedName>
    <definedName name="Z_4A0948D9_1750_11D1_990B_00C04FDEB630_.wvu.Cols" hidden="1">[3]CFM!$A$1:$F$65536,[3]CFM!$J$1:$BW$65536</definedName>
    <definedName name="Z_4A0948D9_1750_11D1_990B_00C04FDEB630_.wvu.Rows" hidden="1">[3]CFM!$A$1:$IV$7</definedName>
    <definedName name="Z_4A0948DB_1750_11D1_990B_00C04FDEB630_.wvu.Rows" hidden="1">[3]GuV!$A$1:$IV$7,[3]GuV!$A$14:$IV$18,[3]GuV!$A$44:$IV$44,[3]GuV!$A$52:$IV$52,[3]GuV!$A$57:$IV$58,[3]GuV!$A$60:$IV$60,[3]GuV!$A$63:$IV$65</definedName>
    <definedName name="Z_4A0948DD_1750_11D1_990B_00C04FDEB630_.wvu.Rows" hidden="1">[3]GuV!$A$1:$IV$7,[3]GuV!$A$14:$IV$18,[3]GuV!$A$44:$IV$44,[3]GuV!$A$52:$IV$52,[3]GuV!$A$57:$IV$58,[3]GuV!$A$60:$IV$60,[3]GuV!$A$63:$IV$65</definedName>
    <definedName name="Z_4A0948DF_1750_11D1_990B_00C04FDEB630_.wvu.Rows" hidden="1">[3]GuV!$A$1:$IV$7,[3]GuV!$A$14:$IV$18,[3]GuV!$A$44:$IV$44,[3]GuV!$A$52:$IV$52,[3]GuV!$A$57:$IV$58,[3]GuV!$A$60:$IV$60,[3]GuV!$A$63:$IV$65</definedName>
    <definedName name="Z_4A0948E1_1750_11D1_990B_00C04FDEB630_.wvu.Rows" hidden="1">[3]GuV!$A$1:$IV$7,[3]GuV!$A$14:$IV$18,[3]GuV!$A$44:$IV$44,[3]GuV!$A$52:$IV$52,[3]GuV!$A$57:$IV$58,[3]GuV!$A$60:$IV$60,[3]GuV!$A$63:$IV$65</definedName>
    <definedName name="Z_4A0948E3_1750_11D1_990B_00C04FDEB630_.wvu.Cols" hidden="1">[3]GuV_M!$A$1:$F$65536,[3]GuV_M!$J$1:$J$65536,[3]GuV_M!$X$1:$CJ$65536</definedName>
    <definedName name="Z_4A0948E3_1750_11D1_990B_00C04FDEB630_.wvu.Rows" hidden="1">[3]GuV_M!$A$1:$IV$7</definedName>
    <definedName name="Z_4A0948E5_1750_11D1_990B_00C04FDEB630_.wvu.Cols" hidden="1">[3]GuV_M!$A$1:$F$65536,[3]GuV_M!$J$1:$W$65536,[3]GuV_M!$AK$1:$CJ$65536</definedName>
    <definedName name="Z_4A0948E5_1750_11D1_990B_00C04FDEB630_.wvu.Rows" hidden="1">[3]GuV_M!$A$1:$IV$7</definedName>
    <definedName name="Z_4A0948E7_1750_11D1_990B_00C04FDEB630_.wvu.Cols" hidden="1">[3]GuV_M!$A$1:$F$65536,[3]GuV_M!$J$1:$AJ$65536,[3]GuV_M!$AX$1:$CJ$65536</definedName>
    <definedName name="Z_4A0948E7_1750_11D1_990B_00C04FDEB630_.wvu.Rows" hidden="1">[3]GuV_M!$A$1:$IV$7</definedName>
    <definedName name="Z_4A0948E9_1750_11D1_990B_00C04FDEB630_.wvu.Cols" hidden="1">[3]GuV_M!$A$1:$F$65536,[3]GuV_M!$J$1:$AW$65536,[3]GuV_M!$BK$1:$CJ$65536</definedName>
    <definedName name="Z_4A0948E9_1750_11D1_990B_00C04FDEB630_.wvu.Rows" hidden="1">[3]GuV_M!$A$1:$IV$7</definedName>
    <definedName name="Z_4A0948EB_1750_11D1_990B_00C04FDEB630_.wvu.Cols" hidden="1">[3]GuV_M!$A$1:$F$65536,[3]GuV_M!$J$1:$BJ$65536,[3]GuV_M!$BX$1:$CJ$65536</definedName>
    <definedName name="Z_4A0948EB_1750_11D1_990B_00C04FDEB630_.wvu.Rows" hidden="1">[3]GuV_M!$A$1:$IV$7</definedName>
    <definedName name="Z_4A0948ED_1750_11D1_990B_00C04FDEB630_.wvu.Cols" hidden="1">[3]GuV_M!$A$1:$F$65536,[3]GuV_M!$J$1:$BW$65536</definedName>
    <definedName name="Z_4A0948ED_1750_11D1_990B_00C04FDEB630_.wvu.Rows" hidden="1">[3]GuV_M!$A$1:$IV$7</definedName>
    <definedName name="Z_5D15C3C4_178E_11D5_A5F6_00C04FF25AC3_.wvu.Rows" hidden="1">'[4]C-Corp General Information'!$A$153:$IV$65536,'[4]C-Corp General Information'!$A$1:$IV$1,'[4]C-Corp General Information'!$A$82:$IV$152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34" l="1"/>
  <c r="B37" i="34"/>
  <c r="W17" i="34"/>
  <c r="T17" i="34" l="1"/>
  <c r="U17" i="34"/>
  <c r="V17" i="34" l="1"/>
  <c r="Q17" i="34" l="1"/>
  <c r="P11" i="34"/>
  <c r="P12" i="34"/>
  <c r="P13" i="34"/>
  <c r="P14" i="34"/>
  <c r="P15" i="34"/>
  <c r="P16" i="34"/>
  <c r="P6" i="34"/>
  <c r="P7" i="34"/>
  <c r="P8" i="34"/>
  <c r="P9" i="34"/>
  <c r="P10" i="34"/>
  <c r="P5" i="34"/>
  <c r="P17" i="34" l="1"/>
  <c r="B18" i="24" l="1"/>
  <c r="B25" i="27"/>
  <c r="B21" i="27"/>
  <c r="C9" i="27"/>
  <c r="B7" i="27"/>
  <c r="D25" i="27" s="1"/>
  <c r="B31" i="26"/>
  <c r="B21" i="26"/>
  <c r="B18" i="26"/>
  <c r="B7" i="26"/>
  <c r="D21" i="26" s="1"/>
  <c r="B31" i="25"/>
  <c r="B21" i="25"/>
  <c r="B18" i="25"/>
  <c r="B7" i="25"/>
  <c r="D21" i="25" s="1"/>
  <c r="B31" i="24"/>
  <c r="B21" i="24"/>
  <c r="C9" i="24"/>
  <c r="C9" i="25" s="1"/>
  <c r="C9" i="26" s="1"/>
  <c r="B7" i="24"/>
  <c r="D21" i="24" s="1"/>
  <c r="D24" i="23"/>
  <c r="D21" i="18" l="1"/>
  <c r="B21" i="18"/>
  <c r="B18" i="18"/>
  <c r="B7" i="18"/>
  <c r="D21" i="17"/>
  <c r="B21" i="17"/>
  <c r="B18" i="17"/>
  <c r="B7" i="17"/>
  <c r="D21" i="16"/>
  <c r="B21" i="16"/>
  <c r="B18" i="16"/>
  <c r="B7" i="16"/>
  <c r="B15" i="16" l="1"/>
  <c r="B15" i="18"/>
  <c r="B15" i="17"/>
  <c r="B15" i="24" l="1"/>
  <c r="B15" i="25" l="1"/>
  <c r="B15" i="26" l="1"/>
  <c r="C43" i="23" l="1"/>
  <c r="B16" i="27" l="1"/>
  <c r="B18" i="27" s="1"/>
  <c r="C42" i="23"/>
  <c r="C40" i="23"/>
  <c r="C41" i="23"/>
  <c r="C37" i="23"/>
  <c r="C39" i="23"/>
  <c r="C38" i="23"/>
  <c r="B15" i="23" l="1"/>
  <c r="B17" i="23" s="1"/>
</calcChain>
</file>

<file path=xl/sharedStrings.xml><?xml version="1.0" encoding="utf-8"?>
<sst xmlns="http://schemas.openxmlformats.org/spreadsheetml/2006/main" count="319" uniqueCount="84">
  <si>
    <t>(* grouped together)</t>
  </si>
  <si>
    <t>EARNED</t>
  </si>
  <si>
    <t>PAYOUT</t>
  </si>
  <si>
    <t>JAN</t>
  </si>
  <si>
    <t>FEB</t>
  </si>
  <si>
    <t>MAR</t>
  </si>
  <si>
    <t>Q1 Payout</t>
  </si>
  <si>
    <t>Date</t>
  </si>
  <si>
    <t>CHECK</t>
  </si>
  <si>
    <t>APR</t>
  </si>
  <si>
    <t>MAY</t>
  </si>
  <si>
    <t>JUN</t>
  </si>
  <si>
    <t>Q2 Payout</t>
  </si>
  <si>
    <t>JUL</t>
  </si>
  <si>
    <t>AUG</t>
  </si>
  <si>
    <t>SEP</t>
  </si>
  <si>
    <t>Q3 Payout</t>
  </si>
  <si>
    <t>OCT</t>
  </si>
  <si>
    <t>NOV</t>
  </si>
  <si>
    <t>DEC</t>
  </si>
  <si>
    <t>Q4 Payout</t>
  </si>
  <si>
    <t>ACCRUAL - Montefiore Childrens Hospital (586771)*</t>
  </si>
  <si>
    <t>ACCRUAL - Montefiore Hospital - Einstein Campus (586659)*</t>
  </si>
  <si>
    <t>ACCRUAL - Montefiore Hospital - Moses Campus (586647)*</t>
  </si>
  <si>
    <t>ACCRUAL - Montefiore Wakefield Campus (586660)*</t>
  </si>
  <si>
    <t>ACCRUAL - Montefiore Wakefield Ambulatory Care Center (553406)*</t>
  </si>
  <si>
    <t>ACCRUAL - Montefiore Westchester (552108)*</t>
  </si>
  <si>
    <t>ACCRUAL - Montefiore Mount Vernon (587114)</t>
  </si>
  <si>
    <t>ACCRUAL - Montefiore New Rochelle (587106)</t>
  </si>
  <si>
    <t>ACCRUAL - Montefiore Nyack Hospital (587067)</t>
  </si>
  <si>
    <t>ACCRUAL - Montefiore St Lukes Cornwall Hospital - Newburgh Campus (587045)</t>
  </si>
  <si>
    <t>ACCRUAL - Montefiore Hutchinson (560608)*</t>
  </si>
  <si>
    <t>ACCRUAL  - Montefiore Primary Specialty Care (595423)*</t>
  </si>
  <si>
    <t>TOTAL</t>
  </si>
  <si>
    <t>ACCRUAL  - Montefiore Childrens Center - Bronx Campus (592498)*</t>
  </si>
  <si>
    <t>FASTAFF</t>
  </si>
  <si>
    <t>CHECK REQUEST</t>
  </si>
  <si>
    <t>Date:</t>
  </si>
  <si>
    <t>Payable to:</t>
  </si>
  <si>
    <t xml:space="preserve">Montefiore </t>
  </si>
  <si>
    <t>WD Supplier#</t>
  </si>
  <si>
    <t>Address:</t>
  </si>
  <si>
    <t>Business Services</t>
  </si>
  <si>
    <t xml:space="preserve">Attn: Jean Marie Cassidy </t>
  </si>
  <si>
    <t>111 East 210th Street</t>
  </si>
  <si>
    <t>Bronx NY, 10467</t>
  </si>
  <si>
    <t>Amount of Check:</t>
  </si>
  <si>
    <t>Reason for Request:</t>
  </si>
  <si>
    <t>Monte Rebate</t>
  </si>
  <si>
    <t>Q3 2024 Rebate Calculation</t>
  </si>
  <si>
    <t>See attached.</t>
  </si>
  <si>
    <t>Requested By:</t>
  </si>
  <si>
    <t>Jorge Perez Rodriguez</t>
  </si>
  <si>
    <t>Approved By:</t>
  </si>
  <si>
    <t>Account #</t>
  </si>
  <si>
    <t>Dept#</t>
  </si>
  <si>
    <t>CC-90000</t>
  </si>
  <si>
    <t>Spend Category</t>
  </si>
  <si>
    <t>Montefiore Rebates</t>
  </si>
  <si>
    <t>Client Name</t>
  </si>
  <si>
    <t>Project#</t>
  </si>
  <si>
    <t xml:space="preserve">Amount </t>
  </si>
  <si>
    <t xml:space="preserve">Monte Childrens Hospital </t>
  </si>
  <si>
    <t>Monte Einstein</t>
  </si>
  <si>
    <t>Monte Moses</t>
  </si>
  <si>
    <t>Monte Hutchinson</t>
  </si>
  <si>
    <t>Monte Wakefield</t>
  </si>
  <si>
    <t>Monte Westchester</t>
  </si>
  <si>
    <t>Monte Primary Specialty</t>
  </si>
  <si>
    <t>Montefiore Mount Vernon</t>
  </si>
  <si>
    <t>Attn: Jean Marie Cassidy</t>
  </si>
  <si>
    <t>Montefiore New Rochelle</t>
  </si>
  <si>
    <t xml:space="preserve">Dept# </t>
  </si>
  <si>
    <t>Montefiore Nyack Hospital</t>
  </si>
  <si>
    <t xml:space="preserve">160 N Midland Ave </t>
  </si>
  <si>
    <t>Nyack, New York 10960</t>
  </si>
  <si>
    <t>Montefiore - St. Luke's Cornwall</t>
  </si>
  <si>
    <t>Montefiore - Westchester</t>
  </si>
  <si>
    <t>Vendor #</t>
  </si>
  <si>
    <t>Attn: Jean Marie Cassidy (3341 Steuben Ave)</t>
  </si>
  <si>
    <t>Department #</t>
  </si>
  <si>
    <t>Op Unit #</t>
  </si>
  <si>
    <t>Montefiore - Moses</t>
  </si>
  <si>
    <t>Montefiore - Einstein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</si>
</sst>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Unicode MS"/>
      <family val="2"/>
    </font>
    <font>
      <sz val="20"/>
      <name val="Arial"/>
      <family val="2"/>
    </font>
    <font>
      <b/>
      <i/>
      <sz val="24"/>
      <name val="Arial"/>
      <family val="2"/>
    </font>
    <font>
      <i/>
      <sz val="18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20"/>
      <name val="Arial"/>
      <family val="2"/>
    </font>
    <font>
      <u/>
      <sz val="10"/>
      <color theme="10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b/>
      <sz val="11"/>
      <name val="Aptos"/>
      <family val="2"/>
    </font>
    <font>
      <b/>
      <sz val="11"/>
      <color rgb="FFFF0000"/>
      <name val="Apto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5" fillId="0" borderId="0"/>
    <xf numFmtId="0" fontId="12" fillId="0" borderId="0"/>
    <xf numFmtId="43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13" fillId="0" borderId="0"/>
    <xf numFmtId="0" fontId="20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14" fontId="9" fillId="2" borderId="1" xfId="0" applyNumberFormat="1" applyFont="1" applyFill="1" applyBorder="1"/>
    <xf numFmtId="0" fontId="9" fillId="0" borderId="1" xfId="0" applyFont="1" applyBorder="1"/>
    <xf numFmtId="0" fontId="9" fillId="0" borderId="3" xfId="0" applyFont="1" applyBorder="1"/>
    <xf numFmtId="164" fontId="9" fillId="2" borderId="1" xfId="0" applyNumberFormat="1" applyFont="1" applyFill="1" applyBorder="1"/>
    <xf numFmtId="0" fontId="9" fillId="2" borderId="3" xfId="0" applyFont="1" applyFill="1" applyBorder="1"/>
    <xf numFmtId="0" fontId="11" fillId="0" borderId="0" xfId="0" applyFont="1"/>
    <xf numFmtId="14" fontId="9" fillId="0" borderId="0" xfId="0" applyNumberFormat="1" applyFont="1"/>
    <xf numFmtId="0" fontId="9" fillId="0" borderId="1" xfId="0" applyFont="1" applyBorder="1" applyAlignment="1">
      <alignment horizontal="left"/>
    </xf>
    <xf numFmtId="0" fontId="9" fillId="2" borderId="3" xfId="0" applyFont="1" applyFill="1" applyBorder="1" applyAlignment="1">
      <alignment wrapText="1"/>
    </xf>
    <xf numFmtId="44" fontId="9" fillId="2" borderId="1" xfId="2" applyFont="1" applyFill="1" applyBorder="1"/>
    <xf numFmtId="44" fontId="9" fillId="0" borderId="1" xfId="2" applyFont="1" applyFill="1" applyBorder="1"/>
    <xf numFmtId="0" fontId="9" fillId="0" borderId="0" xfId="0" applyFont="1" applyAlignment="1">
      <alignment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44" fontId="9" fillId="0" borderId="0" xfId="0" applyNumberFormat="1" applyFont="1"/>
    <xf numFmtId="0" fontId="9" fillId="0" borderId="1" xfId="0" applyFont="1" applyBorder="1" applyAlignment="1">
      <alignment wrapText="1"/>
    </xf>
    <xf numFmtId="43" fontId="0" fillId="3" borderId="0" xfId="0" applyNumberFormat="1" applyFill="1"/>
    <xf numFmtId="43" fontId="16" fillId="0" borderId="0" xfId="1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right" vertical="top"/>
    </xf>
    <xf numFmtId="0" fontId="16" fillId="3" borderId="0" xfId="0" applyFont="1" applyFill="1" applyAlignment="1">
      <alignment vertical="center"/>
    </xf>
    <xf numFmtId="43" fontId="16" fillId="3" borderId="0" xfId="1" applyFont="1" applyFill="1" applyBorder="1" applyAlignment="1">
      <alignment vertical="center"/>
    </xf>
    <xf numFmtId="43" fontId="16" fillId="3" borderId="1" xfId="1" applyFont="1" applyFill="1" applyBorder="1" applyAlignment="1">
      <alignment vertical="center"/>
    </xf>
    <xf numFmtId="43" fontId="16" fillId="0" borderId="4" xfId="1" applyFont="1" applyBorder="1" applyAlignment="1">
      <alignment vertical="center"/>
    </xf>
    <xf numFmtId="43" fontId="16" fillId="0" borderId="8" xfId="1" applyFont="1" applyBorder="1" applyAlignment="1">
      <alignment vertical="center"/>
    </xf>
    <xf numFmtId="43" fontId="19" fillId="3" borderId="5" xfId="1" applyFont="1" applyFill="1" applyBorder="1" applyAlignment="1">
      <alignment vertical="center"/>
    </xf>
    <xf numFmtId="43" fontId="19" fillId="0" borderId="5" xfId="1" applyFont="1" applyBorder="1" applyAlignment="1">
      <alignment vertical="center"/>
    </xf>
    <xf numFmtId="43" fontId="19" fillId="0" borderId="7" xfId="1" applyFont="1" applyBorder="1" applyAlignment="1">
      <alignment vertical="center"/>
    </xf>
    <xf numFmtId="43" fontId="16" fillId="0" borderId="9" xfId="1" applyFont="1" applyBorder="1" applyAlignment="1">
      <alignment vertical="center"/>
    </xf>
    <xf numFmtId="0" fontId="18" fillId="3" borderId="6" xfId="1" applyNumberFormat="1" applyFont="1" applyFill="1" applyBorder="1" applyAlignment="1">
      <alignment horizontal="left" vertical="center"/>
    </xf>
    <xf numFmtId="0" fontId="18" fillId="0" borderId="6" xfId="1" applyNumberFormat="1" applyFont="1" applyBorder="1" applyAlignment="1">
      <alignment horizontal="left" vertical="center"/>
    </xf>
    <xf numFmtId="43" fontId="16" fillId="0" borderId="2" xfId="1" applyFont="1" applyBorder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1" xfId="1" applyFont="1" applyBorder="1" applyAlignment="1">
      <alignment vertical="center"/>
    </xf>
    <xf numFmtId="14" fontId="16" fillId="3" borderId="0" xfId="1" applyNumberFormat="1" applyFont="1" applyFill="1" applyBorder="1" applyAlignment="1">
      <alignment vertical="center"/>
    </xf>
    <xf numFmtId="14" fontId="16" fillId="0" borderId="0" xfId="1" applyNumberFormat="1" applyFont="1" applyBorder="1" applyAlignment="1">
      <alignment vertical="center"/>
    </xf>
    <xf numFmtId="43" fontId="16" fillId="0" borderId="0" xfId="1" applyFont="1" applyFill="1" applyBorder="1" applyAlignment="1">
      <alignment vertic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8">
    <cellStyle name="Comma" xfId="1" builtinId="3"/>
    <cellStyle name="Comma 17" xfId="16" xr:uid="{0CC903B6-6F7C-47B9-A5D7-B13FA414357B}"/>
    <cellStyle name="Comma 2" xfId="3" xr:uid="{00000000-0005-0000-0000-000001000000}"/>
    <cellStyle name="Comma 3" xfId="9" xr:uid="{00000000-0005-0000-0000-000002000000}"/>
    <cellStyle name="Comma 3 2" xfId="5" xr:uid="{00000000-0005-0000-0000-000003000000}"/>
    <cellStyle name="Comma 3 3" xfId="23" xr:uid="{4146C187-80F7-48A7-A767-43DDE28E5CF9}"/>
    <cellStyle name="Comma 3 4" xfId="40" xr:uid="{F3259396-52DB-4CB0-94AE-04A36E62854F}"/>
    <cellStyle name="Comma 4" xfId="14" xr:uid="{00000000-0005-0000-0000-000004000000}"/>
    <cellStyle name="Comma 5" xfId="19" xr:uid="{1EBB2D07-C132-46D7-A66A-C2D07BEAAE2C}"/>
    <cellStyle name="Comma 5 2" xfId="28" xr:uid="{4D822627-7FF6-424B-BAED-808613BA709B}"/>
    <cellStyle name="Comma 5 3" xfId="46" xr:uid="{037300C0-0019-4C7F-AD09-71583013D0DD}"/>
    <cellStyle name="Comma 6" xfId="36" xr:uid="{712D46D3-721A-4A47-87E7-2D49B63B909C}"/>
    <cellStyle name="Comma 7" xfId="30" xr:uid="{1CC4241C-0653-4FE3-A8E5-AEBBA716B62C}"/>
    <cellStyle name="Currency" xfId="2" builtinId="4"/>
    <cellStyle name="Currency 2" xfId="37" xr:uid="{2582A03D-0776-47D0-A0FA-626F38F4EE2F}"/>
    <cellStyle name="Currency 3" xfId="7" xr:uid="{00000000-0005-0000-0000-000006000000}"/>
    <cellStyle name="Currency 3 2" xfId="22" xr:uid="{4173AE21-6602-4E1B-87FB-CA1EFBC132D5}"/>
    <cellStyle name="Currency 3 3" xfId="39" xr:uid="{6BF460DA-3C26-45EC-8612-2723A11D9E8C}"/>
    <cellStyle name="Currency 4" xfId="31" xr:uid="{89857916-3633-4B83-8CDC-EFA6FEA45B1D}"/>
    <cellStyle name="Hyperlink 2" xfId="47" xr:uid="{976CFCDD-1C7D-4883-B920-9F2F5F819F05}"/>
    <cellStyle name="Hyperlink 3" xfId="34" xr:uid="{EE2E38F3-6F0D-4C6F-BEA2-47DF7CDABD3B}"/>
    <cellStyle name="Normal" xfId="0" builtinId="0"/>
    <cellStyle name="Normal 12 4" xfId="18" xr:uid="{E7EAE263-EF03-40E3-BE75-50D6E98B226F}"/>
    <cellStyle name="Normal 12 4 2" xfId="27" xr:uid="{FD8D4BC2-9AC4-4714-B6E8-0E68B24DD9A9}"/>
    <cellStyle name="Normal 12 4 3" xfId="45" xr:uid="{D92381DB-DC93-41F4-AD58-1A20F68C5D2E}"/>
    <cellStyle name="Normal 2" xfId="13" xr:uid="{00000000-0005-0000-0000-000008000000}"/>
    <cellStyle name="Normal 2 2" xfId="10" xr:uid="{00000000-0005-0000-0000-000009000000}"/>
    <cellStyle name="Normal 2 3" xfId="42" xr:uid="{D07BDADC-BBCB-4CB6-9A14-BCD663566E12}"/>
    <cellStyle name="Normal 2 4" xfId="33" xr:uid="{C89835D7-1AE5-4A5A-B355-D904654034E4}"/>
    <cellStyle name="Normal 2 4 4" xfId="17" xr:uid="{D89BD298-D404-4707-B46A-C4A4745DB6BF}"/>
    <cellStyle name="Normal 2 4 4 2" xfId="26" xr:uid="{A4480161-370B-497A-838B-0D30C8F19052}"/>
    <cellStyle name="Normal 2 4 4 3" xfId="44" xr:uid="{C02EF270-F75C-4D9A-B380-B4330F04922C}"/>
    <cellStyle name="Normal 3" xfId="35" xr:uid="{008ADE7D-C69F-47F1-B704-F2952E16BA71}"/>
    <cellStyle name="Normal 3 2" xfId="11" xr:uid="{00000000-0005-0000-0000-00000A000000}"/>
    <cellStyle name="Normal 4" xfId="32" xr:uid="{2D4A0080-92BD-4A0E-9EEC-1927BD2EC28D}"/>
    <cellStyle name="Normal 4 2 2" xfId="4" xr:uid="{00000000-0005-0000-0000-00000B000000}"/>
    <cellStyle name="Normal 5" xfId="29" xr:uid="{B1E86798-565C-4078-BBA6-278E5CCEB606}"/>
    <cellStyle name="Normal 6 2" xfId="8" xr:uid="{00000000-0005-0000-0000-00000C000000}"/>
    <cellStyle name="Normal 61" xfId="12" xr:uid="{00000000-0005-0000-0000-00000D000000}"/>
    <cellStyle name="Normal 61 2" xfId="24" xr:uid="{D84DE08F-E239-4E0B-817C-D9E7B6F514F1}"/>
    <cellStyle name="Normal 61 3" xfId="41" xr:uid="{85E2DC12-C4D2-4B56-8598-6CB583470C66}"/>
    <cellStyle name="Normal 7" xfId="6" xr:uid="{00000000-0005-0000-0000-00000E000000}"/>
    <cellStyle name="Normal 7 2" xfId="21" xr:uid="{1BEFA9C2-E5BD-4C15-8C08-B5FAC7933727}"/>
    <cellStyle name="Normal 7 3" xfId="38" xr:uid="{EC3346B6-D0AE-470A-873F-AD1F19A30C57}"/>
    <cellStyle name="Percent 2" xfId="15" xr:uid="{00000000-0005-0000-0000-000010000000}"/>
    <cellStyle name="Percent 2 2" xfId="25" xr:uid="{794F3758-9EBC-4F15-8874-74C392515952}"/>
    <cellStyle name="Percent 2 3" xfId="43" xr:uid="{D54BD6CB-6F06-429F-AA10-6FAB3BB3981B}"/>
    <cellStyle name="Percent 3" xfId="20" xr:uid="{53114B1E-5887-4D51-B45F-6CF8B6E5F7E8}"/>
  </cellStyles>
  <dxfs count="0"/>
  <tableStyles count="0" defaultTableStyle="TableStyleMedium2" defaultPivotStyle="PivotStyleLight16"/>
  <colors>
    <mruColors>
      <color rgb="FFFF99FF"/>
      <color rgb="FF0000FF"/>
      <color rgb="FF99FFCC"/>
      <color rgb="FFEE0891"/>
      <color rgb="FFFFFFCC"/>
      <color rgb="FFE30DC4"/>
      <color rgb="FFD9D9D9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20</xdr:col>
      <xdr:colOff>478032</xdr:colOff>
      <xdr:row>43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DA64F-E0E4-41CD-B803-4B06B638E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4"/>
          <a:ext cx="12631932" cy="7096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ARES\INSURANC\CLIENTS\Equitable\2009\Provisions\4Q\4th%20Qtr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lbritten\Documents\Client%20Information\Equitable\2010\3Q\Tax%20Estimates%20-%203Q_3rd%20Qtr%202010_Equitable_SS_82592245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UME~1\Enders\LOKALE~1\Temp\Reporting012002A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0%20Tax%20Returns\Akra\2000%20Akra%20ET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"/>
      <sheetName val="A-1 2009"/>
      <sheetName val="2008 Return to Provision"/>
      <sheetName val="balances"/>
      <sheetName val="Small Life Calc"/>
      <sheetName val="GAC"/>
      <sheetName val="GAC Amort"/>
      <sheetName val="DAC PREMIUMS"/>
      <sheetName val="DAC"/>
      <sheetName val="Amort of reserves"/>
      <sheetName val="807(c)(1) Reserves"/>
      <sheetName val="Amort of Reserves (2)"/>
      <sheetName val="INVESTMENT INCOME"/>
      <sheetName val="VACATION PAY"/>
      <sheetName val="Sick Pay 481(a)"/>
      <sheetName val="2008 Tax Reserve for KPMG"/>
      <sheetName val="2009 Tax Reserve for KPMG"/>
      <sheetName val="LIFE INSURANCE RESERVES "/>
      <sheetName val="DUE &amp; UNCOLLECTED"/>
      <sheetName val="non-admitted assets - de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Reconcilation"/>
      <sheetName val="Inventory"/>
      <sheetName val="OLD SSAP 10 Test"/>
      <sheetName val="SSAP 10R Test"/>
      <sheetName val="Paragraph 10a"/>
      <sheetName val="Paragraph 10b-With and Without"/>
      <sheetName val="Paragraph 10e.i"/>
      <sheetName val="Paragraph 10e.ii-With and With"/>
      <sheetName val="Reversals"/>
      <sheetName val="DAC"/>
      <sheetName val="New STAT-FOOTNOTE"/>
      <sheetName val="STAT Valuation Allowance"/>
      <sheetName val="SLIC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ing012002AR"/>
      <sheetName val="AE_M"/>
      <sheetName val="CFM"/>
      <sheetName val="GuV_M"/>
      <sheetName val="GuV"/>
      <sheetName val="Table"/>
      <sheetName val="CA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B for Merging"/>
      <sheetName val="Trial Balance{C}"/>
      <sheetName val="AJEs"/>
      <sheetName val="C-Corp General Information"/>
      <sheetName val="Changes in Retained Earnings"/>
      <sheetName val="Compensation of Officers"/>
      <sheetName val="Fixed Asset Additions"/>
      <sheetName val="Fixed Asset Dispositions"/>
      <sheetName val="Accrued Bonus{A}"/>
      <sheetName val="Accrued Other Est Liab{A}"/>
      <sheetName val="Accrued Vacation{A}"/>
      <sheetName val="Amortization - (Cost){A}"/>
      <sheetName val="Amortization - (Accum.){A}"/>
      <sheetName val="Bad Debt{C&amp;S}"/>
      <sheetName val="Charitable Contributions{A}"/>
      <sheetName val="Deferred Comp{A}"/>
      <sheetName val="Deferred Rent Expense{A}"/>
      <sheetName val="Deferred Revenue{A}"/>
      <sheetName val="Depreciation - (Cost){A}"/>
      <sheetName val="Depreciation - (Accum.){A}"/>
      <sheetName val="Federal Income Taxes{A}"/>
      <sheetName val="Fines &amp; Penalties{A}"/>
      <sheetName val="Gain-Loss on Sale of Assets{A}"/>
      <sheetName val="Goodwill Amortization-(Cost){A}"/>
      <sheetName val="Goodwill Amortization(Accum){A}"/>
      <sheetName val="Meals &amp; Entertainment{A}"/>
      <sheetName val="State Income Taxes{C&amp;S}"/>
      <sheetName val="M1 Import"/>
      <sheetName val="Summary Schedule M-1"/>
      <sheetName val="JE Import"/>
      <sheetName val="Sch 11a - proxy 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2459-2FCB-4883-97A5-B9AEF42E5A6C}">
  <sheetPr codeName="Sheet4"/>
  <dimension ref="A1"/>
  <sheetViews>
    <sheetView workbookViewId="0">
      <selection activeCell="P30" sqref="P30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19B8-CC31-4981-9F86-0D4C3C9A11E9}">
  <dimension ref="A2:Z37"/>
  <sheetViews>
    <sheetView tabSelected="1" topLeftCell="E1" zoomScaleNormal="100" workbookViewId="0">
      <selection activeCell="Z21" sqref="Z21"/>
    </sheetView>
  </sheetViews>
  <sheetFormatPr defaultRowHeight="12.75"/>
  <cols>
    <col min="1" max="1" width="76.7109375" bestFit="1" customWidth="1"/>
    <col min="2" max="4" width="11.28515625" bestFit="1" customWidth="1"/>
    <col min="5" max="5" width="13.140625" bestFit="1" customWidth="1"/>
    <col min="6" max="6" width="10.42578125" bestFit="1" customWidth="1"/>
    <col min="7" max="7" width="9" bestFit="1" customWidth="1"/>
    <col min="8" max="10" width="11.28515625" bestFit="1" customWidth="1"/>
    <col min="11" max="11" width="13.140625" bestFit="1" customWidth="1"/>
    <col min="12" max="12" width="10.42578125" bestFit="1" customWidth="1"/>
    <col min="13" max="13" width="9" bestFit="1" customWidth="1"/>
    <col min="14" max="16" width="11.28515625" bestFit="1" customWidth="1"/>
    <col min="17" max="17" width="11.85546875" bestFit="1" customWidth="1"/>
    <col min="18" max="18" width="11.5703125" bestFit="1" customWidth="1"/>
    <col min="19" max="19" width="9" bestFit="1" customWidth="1"/>
    <col min="20" max="22" width="11.28515625" bestFit="1" customWidth="1"/>
    <col min="23" max="23" width="13.140625" bestFit="1" customWidth="1"/>
    <col min="24" max="24" width="10.42578125" bestFit="1" customWidth="1"/>
    <col min="26" max="26" width="10.85546875" bestFit="1" customWidth="1"/>
  </cols>
  <sheetData>
    <row r="2" spans="1:26">
      <c r="B2">
        <v>2025</v>
      </c>
    </row>
    <row r="3" spans="1:26" ht="15">
      <c r="A3" s="23" t="s">
        <v>0</v>
      </c>
      <c r="B3" t="s">
        <v>1</v>
      </c>
      <c r="C3" t="s">
        <v>1</v>
      </c>
      <c r="D3" t="s">
        <v>1</v>
      </c>
      <c r="E3" s="44" t="s">
        <v>2</v>
      </c>
      <c r="F3" s="45"/>
      <c r="G3" s="45"/>
      <c r="H3" t="s">
        <v>1</v>
      </c>
      <c r="I3" t="s">
        <v>1</v>
      </c>
      <c r="J3" t="s">
        <v>1</v>
      </c>
      <c r="K3" s="45" t="s">
        <v>2</v>
      </c>
      <c r="L3" s="45"/>
      <c r="M3" s="45"/>
      <c r="N3" t="s">
        <v>1</v>
      </c>
      <c r="O3" t="s">
        <v>1</v>
      </c>
      <c r="P3" t="s">
        <v>1</v>
      </c>
      <c r="Q3" s="45" t="s">
        <v>2</v>
      </c>
      <c r="R3" s="45"/>
      <c r="S3" s="45"/>
      <c r="T3" t="s">
        <v>1</v>
      </c>
      <c r="U3" t="s">
        <v>1</v>
      </c>
      <c r="V3" t="s">
        <v>1</v>
      </c>
      <c r="W3" s="45" t="s">
        <v>2</v>
      </c>
      <c r="X3" s="45"/>
      <c r="Y3" s="45"/>
    </row>
    <row r="4" spans="1:26" ht="15">
      <c r="A4" s="24"/>
      <c r="B4" s="22" t="s">
        <v>3</v>
      </c>
      <c r="C4" s="22" t="s">
        <v>4</v>
      </c>
      <c r="D4" s="22" t="s">
        <v>5</v>
      </c>
      <c r="E4" s="29" t="s">
        <v>6</v>
      </c>
      <c r="F4" s="37" t="s">
        <v>7</v>
      </c>
      <c r="G4" s="30" t="s">
        <v>8</v>
      </c>
      <c r="H4" s="22" t="s">
        <v>9</v>
      </c>
      <c r="I4" s="22" t="s">
        <v>10</v>
      </c>
      <c r="J4" s="22" t="s">
        <v>11</v>
      </c>
      <c r="K4" s="29" t="s">
        <v>12</v>
      </c>
      <c r="L4" s="37" t="s">
        <v>7</v>
      </c>
      <c r="M4" s="30" t="s">
        <v>8</v>
      </c>
      <c r="N4" s="22" t="s">
        <v>13</v>
      </c>
      <c r="O4" t="s">
        <v>14</v>
      </c>
      <c r="P4" t="s">
        <v>15</v>
      </c>
      <c r="Q4" s="29" t="s">
        <v>16</v>
      </c>
      <c r="R4" s="37" t="s">
        <v>7</v>
      </c>
      <c r="S4" s="30" t="s">
        <v>8</v>
      </c>
      <c r="T4" s="22" t="s">
        <v>17</v>
      </c>
      <c r="U4" s="42" t="s">
        <v>18</v>
      </c>
      <c r="V4" t="s">
        <v>19</v>
      </c>
      <c r="W4" s="29" t="s">
        <v>20</v>
      </c>
      <c r="X4" s="37" t="s">
        <v>7</v>
      </c>
      <c r="Y4" s="30" t="s">
        <v>8</v>
      </c>
    </row>
    <row r="5" spans="1:26" ht="15">
      <c r="A5" s="26" t="s">
        <v>21</v>
      </c>
      <c r="B5" s="27">
        <v>7904.36</v>
      </c>
      <c r="C5" s="27">
        <v>9518.52</v>
      </c>
      <c r="D5" s="27">
        <v>12491.719999999998</v>
      </c>
      <c r="E5" s="31">
        <v>-29914.6</v>
      </c>
      <c r="F5" s="40">
        <v>45758</v>
      </c>
      <c r="G5" s="35">
        <v>66303</v>
      </c>
      <c r="H5" s="27">
        <v>8521.2800000000007</v>
      </c>
      <c r="I5" s="27">
        <v>7817.8799999999992</v>
      </c>
      <c r="J5" s="27">
        <v>3689.9700000000012</v>
      </c>
      <c r="K5" s="31">
        <v>-20029.13</v>
      </c>
      <c r="L5" s="40">
        <v>45845</v>
      </c>
      <c r="M5" s="35">
        <v>66531</v>
      </c>
      <c r="N5" s="27">
        <v>3123.34</v>
      </c>
      <c r="O5" s="27">
        <v>4446.63</v>
      </c>
      <c r="P5" s="21">
        <f>-N5-O5-Q5</f>
        <v>3826.2599999999993</v>
      </c>
      <c r="Q5" s="31">
        <v>-11396.23</v>
      </c>
      <c r="R5" s="40">
        <v>45960</v>
      </c>
      <c r="S5" s="35">
        <v>66610</v>
      </c>
      <c r="T5" s="27">
        <v>4422.6499999999996</v>
      </c>
      <c r="U5" s="27">
        <v>4417.6900000000005</v>
      </c>
      <c r="V5" s="27">
        <v>5309.7199999999993</v>
      </c>
      <c r="W5" s="31">
        <v>-14150.06</v>
      </c>
      <c r="X5" s="40">
        <v>46034</v>
      </c>
      <c r="Y5" s="35">
        <v>66668</v>
      </c>
    </row>
    <row r="6" spans="1:26" ht="15">
      <c r="A6" s="26" t="s">
        <v>22</v>
      </c>
      <c r="B6" s="27">
        <v>13569.37</v>
      </c>
      <c r="C6" s="27">
        <v>15278.33</v>
      </c>
      <c r="D6" s="27">
        <v>18621.109999999993</v>
      </c>
      <c r="E6" s="31">
        <v>-47468.81</v>
      </c>
      <c r="F6" s="40">
        <v>45758</v>
      </c>
      <c r="G6" s="35">
        <v>66303</v>
      </c>
      <c r="H6" s="27">
        <v>13439.38</v>
      </c>
      <c r="I6" s="27">
        <v>12299.800000000001</v>
      </c>
      <c r="J6" s="27">
        <v>6531.58</v>
      </c>
      <c r="K6" s="31">
        <v>-32270.76</v>
      </c>
      <c r="L6" s="40">
        <v>45845</v>
      </c>
      <c r="M6" s="35">
        <v>66531</v>
      </c>
      <c r="N6" s="27">
        <v>5616.34</v>
      </c>
      <c r="O6" s="27">
        <v>7400.6</v>
      </c>
      <c r="P6" s="21">
        <f t="shared" ref="P6:P16" si="0">-N6-O6-Q6</f>
        <v>6293.9999999999982</v>
      </c>
      <c r="Q6" s="31">
        <v>-19310.939999999999</v>
      </c>
      <c r="R6" s="40">
        <v>45960</v>
      </c>
      <c r="S6" s="35">
        <v>66610</v>
      </c>
      <c r="T6" s="27">
        <v>6757.24</v>
      </c>
      <c r="U6" s="27">
        <v>6846.3000000000011</v>
      </c>
      <c r="V6" s="27">
        <v>10185.629999999999</v>
      </c>
      <c r="W6" s="31">
        <v>-23789.17</v>
      </c>
      <c r="X6" s="40">
        <v>46034</v>
      </c>
      <c r="Y6" s="35">
        <v>66668</v>
      </c>
    </row>
    <row r="7" spans="1:26" ht="15">
      <c r="A7" s="26" t="s">
        <v>23</v>
      </c>
      <c r="B7" s="27">
        <v>19855.96</v>
      </c>
      <c r="C7" s="27">
        <v>21081.85</v>
      </c>
      <c r="D7" s="27">
        <v>25524.880000000005</v>
      </c>
      <c r="E7" s="31">
        <v>-66462.69</v>
      </c>
      <c r="F7" s="40">
        <v>45758</v>
      </c>
      <c r="G7" s="35">
        <v>66303</v>
      </c>
      <c r="H7" s="27">
        <v>20094.439999999999</v>
      </c>
      <c r="I7" s="27">
        <v>25791.540000000005</v>
      </c>
      <c r="J7" s="27">
        <v>17280.140000000003</v>
      </c>
      <c r="K7" s="31">
        <v>-63166.12</v>
      </c>
      <c r="L7" s="40">
        <v>45845</v>
      </c>
      <c r="M7" s="35">
        <v>66531</v>
      </c>
      <c r="N7" s="27">
        <v>11990.46</v>
      </c>
      <c r="O7" s="27">
        <v>17558.68</v>
      </c>
      <c r="P7" s="21">
        <f t="shared" si="0"/>
        <v>15770.730000000003</v>
      </c>
      <c r="Q7" s="31">
        <v>-45319.87</v>
      </c>
      <c r="R7" s="40">
        <v>45960</v>
      </c>
      <c r="S7" s="35">
        <v>66610</v>
      </c>
      <c r="T7" s="27">
        <v>16763.72</v>
      </c>
      <c r="U7" s="27">
        <v>15317.98</v>
      </c>
      <c r="V7" s="27">
        <v>17029.039999999997</v>
      </c>
      <c r="W7" s="31">
        <v>-49110.74</v>
      </c>
      <c r="X7" s="40">
        <v>46034</v>
      </c>
      <c r="Y7" s="35">
        <v>66668</v>
      </c>
    </row>
    <row r="8" spans="1:26" ht="15">
      <c r="A8" s="26" t="s">
        <v>24</v>
      </c>
      <c r="B8" s="27">
        <v>1881.62</v>
      </c>
      <c r="C8" s="27">
        <v>2342.04</v>
      </c>
      <c r="D8" s="27">
        <v>3507.87</v>
      </c>
      <c r="E8" s="31">
        <v>-7731.53</v>
      </c>
      <c r="F8" s="40">
        <v>45758</v>
      </c>
      <c r="G8" s="35">
        <v>66303</v>
      </c>
      <c r="H8" s="27">
        <v>2360.5300000000002</v>
      </c>
      <c r="I8" s="27">
        <v>2561.9199999999996</v>
      </c>
      <c r="J8" s="27">
        <v>1842.31</v>
      </c>
      <c r="K8" s="31">
        <v>-6764.76</v>
      </c>
      <c r="L8" s="40">
        <v>45845</v>
      </c>
      <c r="M8" s="35">
        <v>66531</v>
      </c>
      <c r="N8" s="27">
        <v>2034.27</v>
      </c>
      <c r="O8" s="27">
        <v>2916.14</v>
      </c>
      <c r="P8" s="21">
        <f t="shared" si="0"/>
        <v>2648.8</v>
      </c>
      <c r="Q8" s="31">
        <v>-7599.21</v>
      </c>
      <c r="R8" s="40">
        <v>45960</v>
      </c>
      <c r="S8" s="35">
        <v>66610</v>
      </c>
      <c r="T8" s="27">
        <v>2669.71</v>
      </c>
      <c r="U8" s="27">
        <v>2581.4399999999996</v>
      </c>
      <c r="V8" s="27">
        <v>3687.6499999999996</v>
      </c>
      <c r="W8" s="31">
        <v>-8938.7999999999993</v>
      </c>
      <c r="X8" s="40">
        <v>46034</v>
      </c>
      <c r="Y8" s="35">
        <v>66668</v>
      </c>
    </row>
    <row r="9" spans="1:26" ht="15">
      <c r="A9" s="26" t="s">
        <v>25</v>
      </c>
      <c r="B9" s="27">
        <v>0</v>
      </c>
      <c r="C9" s="27">
        <v>117.65</v>
      </c>
      <c r="D9" s="27">
        <v>367.01</v>
      </c>
      <c r="E9" s="31">
        <v>-484.66</v>
      </c>
      <c r="F9" s="40">
        <v>45758</v>
      </c>
      <c r="G9" s="35">
        <v>66303</v>
      </c>
      <c r="H9" s="27">
        <v>208.23</v>
      </c>
      <c r="I9" s="27">
        <v>242.93000000000004</v>
      </c>
      <c r="J9" s="27">
        <v>71.019999999999897</v>
      </c>
      <c r="K9" s="31">
        <v>-522.17999999999995</v>
      </c>
      <c r="L9" s="40">
        <v>45845</v>
      </c>
      <c r="M9" s="35">
        <v>66531</v>
      </c>
      <c r="N9" s="27">
        <v>0</v>
      </c>
      <c r="O9" s="27">
        <v>527.74</v>
      </c>
      <c r="P9" s="21">
        <f t="shared" si="0"/>
        <v>172.88</v>
      </c>
      <c r="Q9" s="31">
        <v>-700.62</v>
      </c>
      <c r="R9" s="40">
        <v>45960</v>
      </c>
      <c r="S9" s="35">
        <v>66610</v>
      </c>
      <c r="T9" s="27">
        <v>232.04</v>
      </c>
      <c r="U9" s="27">
        <v>218.23</v>
      </c>
      <c r="V9" s="27">
        <v>180.00000000000003</v>
      </c>
      <c r="W9" s="31">
        <v>-630.27</v>
      </c>
      <c r="X9" s="40">
        <v>46034</v>
      </c>
      <c r="Y9" s="35">
        <v>66668</v>
      </c>
    </row>
    <row r="10" spans="1:26" ht="15">
      <c r="A10" s="26" t="s">
        <v>26</v>
      </c>
      <c r="B10" s="27">
        <v>853.62</v>
      </c>
      <c r="C10" s="27">
        <v>577.04000000000008</v>
      </c>
      <c r="D10" s="27">
        <v>838.78000000000009</v>
      </c>
      <c r="E10" s="31">
        <v>-2269.44</v>
      </c>
      <c r="F10" s="40">
        <v>45758</v>
      </c>
      <c r="G10" s="35">
        <v>66303</v>
      </c>
      <c r="H10" s="27">
        <v>333.03</v>
      </c>
      <c r="I10" s="27">
        <v>339.42000000000007</v>
      </c>
      <c r="J10" s="27">
        <v>445.37999999999988</v>
      </c>
      <c r="K10" s="31">
        <v>-1117.83</v>
      </c>
      <c r="L10" s="40">
        <v>45845</v>
      </c>
      <c r="M10" s="35">
        <v>66531</v>
      </c>
      <c r="N10" s="27">
        <v>245.33</v>
      </c>
      <c r="O10" s="27">
        <v>83.619999999999976</v>
      </c>
      <c r="P10" s="21">
        <f t="shared" si="0"/>
        <v>0</v>
      </c>
      <c r="Q10" s="31">
        <v>-328.95</v>
      </c>
      <c r="R10" s="40">
        <v>45960</v>
      </c>
      <c r="S10" s="35">
        <v>66610</v>
      </c>
      <c r="T10" s="27">
        <v>0</v>
      </c>
      <c r="U10" s="27">
        <v>0</v>
      </c>
      <c r="V10" s="27">
        <v>0</v>
      </c>
      <c r="W10" s="31">
        <v>0</v>
      </c>
      <c r="X10" s="27">
        <v>0</v>
      </c>
      <c r="Y10" s="35"/>
    </row>
    <row r="11" spans="1:26" ht="15">
      <c r="A11" s="23" t="s">
        <v>27</v>
      </c>
      <c r="B11" s="22">
        <v>2109.71</v>
      </c>
      <c r="C11" s="22">
        <v>2708.92</v>
      </c>
      <c r="D11" s="22">
        <v>2513.59</v>
      </c>
      <c r="E11" s="32">
        <v>-7332.22</v>
      </c>
      <c r="F11" s="41">
        <v>45758</v>
      </c>
      <c r="G11" s="36">
        <v>66304</v>
      </c>
      <c r="H11" s="22">
        <v>1693.22</v>
      </c>
      <c r="I11" s="22">
        <v>1102.5899999999999</v>
      </c>
      <c r="J11" s="22">
        <v>318.86999999999989</v>
      </c>
      <c r="K11" s="32">
        <v>-3114.68</v>
      </c>
      <c r="L11" s="41">
        <v>45849</v>
      </c>
      <c r="M11" s="36">
        <v>66532</v>
      </c>
      <c r="N11" s="22">
        <v>100.69</v>
      </c>
      <c r="O11" s="22">
        <v>493.96</v>
      </c>
      <c r="P11" s="22">
        <f>-N11-O11-Q11</f>
        <v>283.94000000000005</v>
      </c>
      <c r="Q11" s="32">
        <v>-878.59</v>
      </c>
      <c r="R11" s="41">
        <v>45966</v>
      </c>
      <c r="S11" s="36">
        <v>66611</v>
      </c>
      <c r="T11" s="22">
        <v>714.48</v>
      </c>
      <c r="U11" s="22">
        <v>741.67000000000007</v>
      </c>
      <c r="V11" s="22">
        <v>756.07999999999993</v>
      </c>
      <c r="W11" s="32">
        <v>-2212.23</v>
      </c>
      <c r="X11" s="41">
        <v>46034</v>
      </c>
      <c r="Y11" s="36">
        <v>66669</v>
      </c>
    </row>
    <row r="12" spans="1:26" ht="15">
      <c r="A12" s="23" t="s">
        <v>28</v>
      </c>
      <c r="B12" s="22">
        <v>4538.34</v>
      </c>
      <c r="C12" s="22">
        <v>5054.869999999999</v>
      </c>
      <c r="D12" s="22">
        <v>6464.2300000000014</v>
      </c>
      <c r="E12" s="32">
        <v>-16057.44</v>
      </c>
      <c r="F12" s="41">
        <v>45758</v>
      </c>
      <c r="G12" s="36">
        <v>66305</v>
      </c>
      <c r="H12" s="22">
        <v>4644.5600000000004</v>
      </c>
      <c r="I12" s="22">
        <v>5135.8</v>
      </c>
      <c r="J12" s="22">
        <v>2942.6899999999987</v>
      </c>
      <c r="K12" s="32">
        <v>-12723.05</v>
      </c>
      <c r="L12" s="41">
        <v>45849</v>
      </c>
      <c r="M12" s="36">
        <v>66533</v>
      </c>
      <c r="N12" s="22">
        <v>2237.75</v>
      </c>
      <c r="O12" s="22">
        <v>3507.9700000000003</v>
      </c>
      <c r="P12" s="22">
        <f t="shared" si="0"/>
        <v>3257.579999999999</v>
      </c>
      <c r="Q12" s="32">
        <v>-9003.2999999999993</v>
      </c>
      <c r="R12" s="41">
        <v>45966</v>
      </c>
      <c r="S12" s="36">
        <v>66612</v>
      </c>
      <c r="T12" s="22">
        <v>3495.72</v>
      </c>
      <c r="U12" s="22">
        <v>3284.4600000000005</v>
      </c>
      <c r="V12" s="22">
        <v>1840.7600000000007</v>
      </c>
      <c r="W12" s="32">
        <v>-8620.94</v>
      </c>
      <c r="X12" s="41">
        <v>46034</v>
      </c>
      <c r="Y12" s="36">
        <v>66670</v>
      </c>
    </row>
    <row r="13" spans="1:26" ht="15">
      <c r="A13" s="23" t="s">
        <v>29</v>
      </c>
      <c r="B13" s="22">
        <v>714.43</v>
      </c>
      <c r="C13" s="22">
        <v>356.56000000000006</v>
      </c>
      <c r="D13" s="22">
        <v>287.73</v>
      </c>
      <c r="E13" s="32">
        <v>-1358.72</v>
      </c>
      <c r="F13" s="41">
        <v>45758</v>
      </c>
      <c r="G13" s="36">
        <v>66306</v>
      </c>
      <c r="H13" s="22">
        <v>174.85</v>
      </c>
      <c r="I13" s="22">
        <v>186.14000000000001</v>
      </c>
      <c r="J13" s="22">
        <v>0</v>
      </c>
      <c r="K13" s="32">
        <v>-360.99</v>
      </c>
      <c r="L13" s="41">
        <v>45849</v>
      </c>
      <c r="M13" s="36">
        <v>66534</v>
      </c>
      <c r="N13" s="22">
        <v>0</v>
      </c>
      <c r="O13" s="22">
        <v>0</v>
      </c>
      <c r="P13" s="22">
        <f t="shared" si="0"/>
        <v>0</v>
      </c>
      <c r="Q13" s="32">
        <v>0</v>
      </c>
      <c r="R13" s="41"/>
      <c r="S13" s="36"/>
      <c r="T13" s="22">
        <v>0</v>
      </c>
      <c r="U13" s="22">
        <v>0</v>
      </c>
      <c r="V13" s="22">
        <v>0</v>
      </c>
      <c r="W13" s="32">
        <v>0</v>
      </c>
      <c r="X13" s="41"/>
      <c r="Y13" s="36"/>
    </row>
    <row r="14" spans="1:26" ht="15">
      <c r="A14" s="23" t="s">
        <v>30</v>
      </c>
      <c r="B14" s="22">
        <v>0</v>
      </c>
      <c r="C14" s="22">
        <v>0</v>
      </c>
      <c r="D14" s="22">
        <v>0</v>
      </c>
      <c r="E14" s="32">
        <v>0</v>
      </c>
      <c r="F14" s="38"/>
      <c r="G14" s="36"/>
      <c r="H14" s="22">
        <v>0</v>
      </c>
      <c r="I14" s="22">
        <v>0</v>
      </c>
      <c r="J14" s="22">
        <v>0</v>
      </c>
      <c r="K14" s="32">
        <v>0</v>
      </c>
      <c r="L14" s="38"/>
      <c r="M14" s="36"/>
      <c r="N14" s="22">
        <v>0</v>
      </c>
      <c r="O14" s="22">
        <v>0</v>
      </c>
      <c r="P14" s="22">
        <f t="shared" si="0"/>
        <v>0</v>
      </c>
      <c r="Q14" s="32">
        <v>0</v>
      </c>
      <c r="R14" s="41"/>
      <c r="S14" s="36"/>
      <c r="T14" s="22">
        <v>0</v>
      </c>
      <c r="U14" s="22">
        <v>0</v>
      </c>
      <c r="V14" s="22">
        <v>0</v>
      </c>
      <c r="W14" s="32">
        <v>0</v>
      </c>
      <c r="X14" s="41"/>
      <c r="Y14" s="36"/>
    </row>
    <row r="15" spans="1:26" ht="15">
      <c r="A15" s="26" t="s">
        <v>31</v>
      </c>
      <c r="B15" s="27">
        <v>1157.68</v>
      </c>
      <c r="C15" s="27">
        <v>1673.3099999999997</v>
      </c>
      <c r="D15" s="27">
        <v>2619.8600000000006</v>
      </c>
      <c r="E15" s="31">
        <v>-5450.85</v>
      </c>
      <c r="F15" s="40">
        <v>45758</v>
      </c>
      <c r="G15" s="35">
        <v>66303</v>
      </c>
      <c r="H15" s="27">
        <v>1494.13</v>
      </c>
      <c r="I15" s="27">
        <v>1235.3599999999997</v>
      </c>
      <c r="J15" s="27">
        <v>360.23</v>
      </c>
      <c r="K15" s="31">
        <v>-3089.72</v>
      </c>
      <c r="L15" s="40">
        <v>45845</v>
      </c>
      <c r="M15" s="35">
        <v>66531</v>
      </c>
      <c r="N15" s="27">
        <v>482.1</v>
      </c>
      <c r="O15" s="27">
        <v>208.16999999999996</v>
      </c>
      <c r="P15" s="21">
        <f t="shared" si="0"/>
        <v>139.71000000000004</v>
      </c>
      <c r="Q15" s="31">
        <v>-829.98</v>
      </c>
      <c r="R15" s="40">
        <v>45960</v>
      </c>
      <c r="S15" s="35">
        <v>66610</v>
      </c>
      <c r="T15" s="27">
        <v>442.44</v>
      </c>
      <c r="U15" s="27">
        <v>224.45999999999998</v>
      </c>
      <c r="V15" s="27">
        <v>345.00000000000006</v>
      </c>
      <c r="W15" s="31">
        <v>-1011.9</v>
      </c>
      <c r="X15" s="40">
        <v>46034</v>
      </c>
      <c r="Y15" s="35">
        <v>66668</v>
      </c>
    </row>
    <row r="16" spans="1:26" ht="15">
      <c r="A16" s="26" t="s">
        <v>32</v>
      </c>
      <c r="B16" s="28">
        <v>263.45</v>
      </c>
      <c r="C16" s="28">
        <v>274.84999999999997</v>
      </c>
      <c r="D16" s="28">
        <v>294.4500000000001</v>
      </c>
      <c r="E16" s="31">
        <v>-832.75</v>
      </c>
      <c r="F16" s="40">
        <v>45758</v>
      </c>
      <c r="G16" s="35">
        <v>66303</v>
      </c>
      <c r="H16" s="28">
        <v>290.55</v>
      </c>
      <c r="I16" s="28">
        <v>223.95999999999998</v>
      </c>
      <c r="J16" s="28">
        <v>177.01</v>
      </c>
      <c r="K16" s="31">
        <v>-691.52</v>
      </c>
      <c r="L16" s="40">
        <v>45845</v>
      </c>
      <c r="M16" s="35">
        <v>66531</v>
      </c>
      <c r="N16" s="28">
        <v>138.53</v>
      </c>
      <c r="O16" s="28">
        <v>223.83</v>
      </c>
      <c r="P16" s="28">
        <f t="shared" si="0"/>
        <v>25.240000000000009</v>
      </c>
      <c r="Q16" s="31">
        <v>-387.6</v>
      </c>
      <c r="R16" s="40">
        <v>45960</v>
      </c>
      <c r="S16" s="35">
        <v>66610</v>
      </c>
      <c r="T16" s="28">
        <v>0</v>
      </c>
      <c r="U16" s="28">
        <v>0</v>
      </c>
      <c r="V16" s="28">
        <v>0</v>
      </c>
      <c r="W16" s="31">
        <v>0</v>
      </c>
      <c r="X16" s="27">
        <v>0</v>
      </c>
      <c r="Y16" s="35"/>
      <c r="Z16" s="43">
        <f>SUM(W5:W10,W15:W16)</f>
        <v>-97630.94</v>
      </c>
    </row>
    <row r="17" spans="1:25" ht="15">
      <c r="A17" s="25" t="s">
        <v>33</v>
      </c>
      <c r="B17" s="22">
        <v>52848.540000000008</v>
      </c>
      <c r="C17" s="22">
        <v>58983.939999999995</v>
      </c>
      <c r="D17" s="22">
        <v>73531.229999999981</v>
      </c>
      <c r="E17" s="33">
        <v>-185363.71000000002</v>
      </c>
      <c r="F17" s="39"/>
      <c r="G17" s="34"/>
      <c r="H17" s="22">
        <v>53254.2</v>
      </c>
      <c r="I17" s="22">
        <v>56937.34</v>
      </c>
      <c r="J17" s="22">
        <v>33659.200000000012</v>
      </c>
      <c r="K17" s="33">
        <v>-143850.73999999996</v>
      </c>
      <c r="L17" s="39"/>
      <c r="M17" s="34"/>
      <c r="N17" s="22">
        <v>25968.809999999998</v>
      </c>
      <c r="O17" s="22">
        <v>37367.340000000004</v>
      </c>
      <c r="P17" s="22">
        <f>SUM(P5:P16)</f>
        <v>32419.14</v>
      </c>
      <c r="Q17" s="33">
        <f>SUM(Q5:Q16)</f>
        <v>-95755.290000000008</v>
      </c>
      <c r="R17" s="39"/>
      <c r="S17" s="34"/>
      <c r="T17" s="22">
        <f t="shared" ref="T17:U17" si="1">SUM(T5:T16)</f>
        <v>35498</v>
      </c>
      <c r="U17" s="22">
        <f t="shared" si="1"/>
        <v>33632.229999999996</v>
      </c>
      <c r="V17" s="22">
        <f>SUM(V5:V16)</f>
        <v>39333.879999999997</v>
      </c>
      <c r="W17" s="33">
        <f>SUM(W5:W16)</f>
        <v>-108464.11</v>
      </c>
      <c r="X17" s="39"/>
      <c r="Y17" s="34"/>
    </row>
    <row r="18" spans="1:25" ht="15">
      <c r="A18" s="25"/>
      <c r="B18" s="22"/>
      <c r="C18" s="22"/>
      <c r="D18" s="22"/>
      <c r="E18" s="38"/>
      <c r="F18" s="38"/>
      <c r="G18" s="22"/>
      <c r="H18" s="22"/>
      <c r="I18" s="22"/>
      <c r="J18" s="22"/>
      <c r="K18" s="38"/>
      <c r="L18" s="38"/>
      <c r="M18" s="22"/>
      <c r="N18" s="22"/>
      <c r="O18" s="22"/>
      <c r="P18" s="22"/>
      <c r="Q18" s="38"/>
      <c r="R18" s="38"/>
      <c r="S18" s="22"/>
      <c r="T18" s="22"/>
      <c r="U18" s="22"/>
      <c r="V18" s="22"/>
      <c r="W18" s="38"/>
      <c r="X18" s="38"/>
      <c r="Y18" s="22"/>
    </row>
    <row r="19" spans="1:25" ht="15">
      <c r="A19" s="25"/>
      <c r="B19" s="22"/>
      <c r="C19" s="22"/>
      <c r="D19" s="22"/>
      <c r="E19" s="38"/>
      <c r="F19" s="38"/>
      <c r="G19" s="22"/>
      <c r="H19" s="22"/>
      <c r="I19" s="22"/>
      <c r="J19" s="22"/>
      <c r="K19" s="38"/>
      <c r="L19" s="38"/>
      <c r="M19" s="22"/>
      <c r="N19" s="22"/>
      <c r="O19" s="22"/>
      <c r="P19" s="22"/>
      <c r="Q19" s="38"/>
      <c r="R19" s="38"/>
      <c r="S19" s="22"/>
      <c r="T19" s="22"/>
      <c r="U19" s="22"/>
      <c r="V19" s="22"/>
      <c r="W19" s="38"/>
      <c r="X19" s="38"/>
      <c r="Y19" s="22"/>
    </row>
    <row r="20" spans="1:25" ht="15">
      <c r="A20" s="25"/>
      <c r="B20" s="22"/>
      <c r="C20" s="22"/>
      <c r="D20" s="22"/>
      <c r="E20" s="38"/>
      <c r="F20" s="38"/>
      <c r="G20" s="22"/>
      <c r="H20" s="22"/>
      <c r="I20" s="22"/>
      <c r="J20" s="22"/>
      <c r="K20" s="38"/>
      <c r="L20" s="38"/>
      <c r="M20" s="22"/>
      <c r="N20" s="22"/>
      <c r="O20" s="22"/>
      <c r="P20" s="22"/>
      <c r="Q20" s="38"/>
      <c r="R20" s="38"/>
      <c r="S20" s="22"/>
      <c r="T20" s="22"/>
      <c r="U20" s="22"/>
      <c r="V20" s="22"/>
      <c r="W20" s="38"/>
      <c r="X20" s="38"/>
      <c r="Y20" s="22"/>
    </row>
    <row r="21" spans="1:25">
      <c r="B21">
        <v>2026</v>
      </c>
    </row>
    <row r="22" spans="1:25" ht="15">
      <c r="A22" s="23" t="s">
        <v>0</v>
      </c>
      <c r="B22" t="s">
        <v>1</v>
      </c>
      <c r="C22" t="s">
        <v>1</v>
      </c>
      <c r="D22" t="s">
        <v>1</v>
      </c>
      <c r="E22" s="44" t="s">
        <v>2</v>
      </c>
      <c r="F22" s="45"/>
      <c r="G22" s="45"/>
      <c r="H22" t="s">
        <v>1</v>
      </c>
      <c r="I22" t="s">
        <v>1</v>
      </c>
      <c r="J22" t="s">
        <v>1</v>
      </c>
      <c r="K22" s="45" t="s">
        <v>2</v>
      </c>
      <c r="L22" s="45"/>
      <c r="M22" s="45"/>
      <c r="N22" t="s">
        <v>1</v>
      </c>
      <c r="O22" t="s">
        <v>1</v>
      </c>
      <c r="P22" t="s">
        <v>1</v>
      </c>
      <c r="Q22" s="45" t="s">
        <v>2</v>
      </c>
      <c r="R22" s="45"/>
      <c r="S22" s="45"/>
      <c r="T22" t="s">
        <v>1</v>
      </c>
      <c r="U22" t="s">
        <v>1</v>
      </c>
      <c r="V22" t="s">
        <v>1</v>
      </c>
      <c r="W22" s="45" t="s">
        <v>2</v>
      </c>
      <c r="X22" s="45"/>
      <c r="Y22" s="45"/>
    </row>
    <row r="23" spans="1:25" ht="15">
      <c r="A23" s="24"/>
      <c r="B23" s="22" t="s">
        <v>3</v>
      </c>
      <c r="C23" s="22" t="s">
        <v>4</v>
      </c>
      <c r="D23" s="22" t="s">
        <v>5</v>
      </c>
      <c r="E23" s="29" t="s">
        <v>6</v>
      </c>
      <c r="F23" s="37" t="s">
        <v>7</v>
      </c>
      <c r="G23" s="30" t="s">
        <v>8</v>
      </c>
      <c r="H23" s="22" t="s">
        <v>9</v>
      </c>
      <c r="I23" s="22" t="s">
        <v>10</v>
      </c>
      <c r="J23" s="22" t="s">
        <v>11</v>
      </c>
      <c r="K23" s="29" t="s">
        <v>12</v>
      </c>
      <c r="L23" s="37" t="s">
        <v>7</v>
      </c>
      <c r="M23" s="30" t="s">
        <v>8</v>
      </c>
      <c r="N23" s="22" t="s">
        <v>13</v>
      </c>
      <c r="O23" t="s">
        <v>14</v>
      </c>
      <c r="P23" t="s">
        <v>15</v>
      </c>
      <c r="Q23" s="29" t="s">
        <v>16</v>
      </c>
      <c r="R23" s="37" t="s">
        <v>7</v>
      </c>
      <c r="S23" s="30" t="s">
        <v>8</v>
      </c>
      <c r="T23" s="22" t="s">
        <v>17</v>
      </c>
      <c r="U23" s="42" t="s">
        <v>18</v>
      </c>
      <c r="V23" t="s">
        <v>19</v>
      </c>
      <c r="W23" s="29" t="s">
        <v>20</v>
      </c>
      <c r="X23" s="37" t="s">
        <v>7</v>
      </c>
      <c r="Y23" s="30" t="s">
        <v>8</v>
      </c>
    </row>
    <row r="24" spans="1:25" ht="15">
      <c r="A24" s="26" t="s">
        <v>21</v>
      </c>
      <c r="B24" s="27">
        <v>3205.33</v>
      </c>
      <c r="C24" s="27"/>
      <c r="D24" s="27"/>
      <c r="E24" s="31"/>
      <c r="F24" s="40"/>
      <c r="G24" s="35"/>
      <c r="H24" s="27"/>
      <c r="I24" s="27"/>
      <c r="J24" s="27"/>
      <c r="K24" s="31"/>
      <c r="L24" s="40"/>
      <c r="M24" s="35"/>
      <c r="N24" s="27"/>
      <c r="O24" s="27"/>
      <c r="P24" s="21"/>
      <c r="Q24" s="31"/>
      <c r="R24" s="40"/>
      <c r="S24" s="35"/>
      <c r="T24" s="27"/>
      <c r="U24" s="27"/>
      <c r="V24" s="27"/>
      <c r="W24" s="31"/>
      <c r="X24" s="40"/>
      <c r="Y24" s="35"/>
    </row>
    <row r="25" spans="1:25" ht="15">
      <c r="A25" s="26" t="s">
        <v>22</v>
      </c>
      <c r="B25" s="27">
        <v>5779.06</v>
      </c>
      <c r="C25" s="27"/>
      <c r="D25" s="27"/>
      <c r="E25" s="31"/>
      <c r="F25" s="40"/>
      <c r="G25" s="35"/>
      <c r="H25" s="27"/>
      <c r="I25" s="27"/>
      <c r="J25" s="27"/>
      <c r="K25" s="31"/>
      <c r="L25" s="40"/>
      <c r="M25" s="35"/>
      <c r="N25" s="27"/>
      <c r="O25" s="27"/>
      <c r="P25" s="21"/>
      <c r="Q25" s="31"/>
      <c r="R25" s="40"/>
      <c r="S25" s="35"/>
      <c r="T25" s="27"/>
      <c r="U25" s="27"/>
      <c r="V25" s="27"/>
      <c r="W25" s="31"/>
      <c r="X25" s="40"/>
      <c r="Y25" s="35"/>
    </row>
    <row r="26" spans="1:25" ht="15">
      <c r="A26" s="26" t="s">
        <v>23</v>
      </c>
      <c r="B26" s="27">
        <v>9875.93</v>
      </c>
      <c r="C26" s="27"/>
      <c r="D26" s="27"/>
      <c r="E26" s="31"/>
      <c r="F26" s="40"/>
      <c r="G26" s="35"/>
      <c r="H26" s="27"/>
      <c r="I26" s="27"/>
      <c r="J26" s="27"/>
      <c r="K26" s="31"/>
      <c r="L26" s="40"/>
      <c r="M26" s="35"/>
      <c r="N26" s="27"/>
      <c r="O26" s="27"/>
      <c r="P26" s="21"/>
      <c r="Q26" s="31"/>
      <c r="R26" s="40"/>
      <c r="S26" s="35"/>
      <c r="T26" s="27"/>
      <c r="U26" s="27"/>
      <c r="V26" s="27"/>
      <c r="W26" s="31"/>
      <c r="X26" s="40"/>
      <c r="Y26" s="35"/>
    </row>
    <row r="27" spans="1:25" ht="15">
      <c r="A27" s="26" t="s">
        <v>24</v>
      </c>
      <c r="B27" s="27">
        <v>2795.62</v>
      </c>
      <c r="C27" s="27"/>
      <c r="D27" s="27"/>
      <c r="E27" s="31"/>
      <c r="F27" s="40"/>
      <c r="G27" s="35"/>
      <c r="H27" s="27"/>
      <c r="I27" s="27"/>
      <c r="J27" s="27"/>
      <c r="K27" s="31"/>
      <c r="L27" s="40"/>
      <c r="M27" s="35"/>
      <c r="N27" s="27"/>
      <c r="O27" s="27"/>
      <c r="P27" s="21"/>
      <c r="Q27" s="31"/>
      <c r="R27" s="40"/>
      <c r="S27" s="35"/>
      <c r="T27" s="27"/>
      <c r="U27" s="27"/>
      <c r="V27" s="27"/>
      <c r="W27" s="31"/>
      <c r="X27" s="40"/>
      <c r="Y27" s="35"/>
    </row>
    <row r="28" spans="1:25" ht="15">
      <c r="A28" s="26" t="s">
        <v>25</v>
      </c>
      <c r="B28" s="27">
        <v>0</v>
      </c>
      <c r="C28" s="27"/>
      <c r="D28" s="27"/>
      <c r="E28" s="31"/>
      <c r="F28" s="40"/>
      <c r="G28" s="35"/>
      <c r="H28" s="27"/>
      <c r="I28" s="27"/>
      <c r="J28" s="27"/>
      <c r="K28" s="31"/>
      <c r="L28" s="40"/>
      <c r="M28" s="35"/>
      <c r="N28" s="27"/>
      <c r="O28" s="27"/>
      <c r="P28" s="21"/>
      <c r="Q28" s="31"/>
      <c r="R28" s="40"/>
      <c r="S28" s="35"/>
      <c r="T28" s="27"/>
      <c r="U28" s="27"/>
      <c r="V28" s="27"/>
      <c r="W28" s="31"/>
      <c r="X28" s="40"/>
      <c r="Y28" s="35"/>
    </row>
    <row r="29" spans="1:25" ht="15">
      <c r="A29" s="26" t="s">
        <v>26</v>
      </c>
      <c r="B29" s="27">
        <v>69.23</v>
      </c>
      <c r="C29" s="27"/>
      <c r="D29" s="27"/>
      <c r="E29" s="31"/>
      <c r="F29" s="40"/>
      <c r="G29" s="35"/>
      <c r="H29" s="27"/>
      <c r="I29" s="27"/>
      <c r="J29" s="27"/>
      <c r="K29" s="31"/>
      <c r="L29" s="40"/>
      <c r="M29" s="35"/>
      <c r="N29" s="27"/>
      <c r="O29" s="27"/>
      <c r="P29" s="21"/>
      <c r="Q29" s="31"/>
      <c r="R29" s="40"/>
      <c r="S29" s="35"/>
      <c r="T29" s="27"/>
      <c r="U29" s="27"/>
      <c r="V29" s="27"/>
      <c r="W29" s="31"/>
      <c r="X29" s="27"/>
      <c r="Y29" s="35"/>
    </row>
    <row r="30" spans="1:25" ht="15">
      <c r="A30" s="23" t="s">
        <v>27</v>
      </c>
      <c r="B30" s="22">
        <v>757.37</v>
      </c>
      <c r="C30" s="22"/>
      <c r="D30" s="22"/>
      <c r="E30" s="32"/>
      <c r="F30" s="41"/>
      <c r="G30" s="36"/>
      <c r="H30" s="22"/>
      <c r="I30" s="22"/>
      <c r="J30" s="22"/>
      <c r="K30" s="32"/>
      <c r="L30" s="41"/>
      <c r="M30" s="36"/>
      <c r="N30" s="22"/>
      <c r="O30" s="22"/>
      <c r="P30" s="22"/>
      <c r="Q30" s="32"/>
      <c r="R30" s="41"/>
      <c r="S30" s="36"/>
      <c r="T30" s="22"/>
      <c r="U30" s="22"/>
      <c r="V30" s="22"/>
      <c r="W30" s="32"/>
      <c r="X30" s="41"/>
      <c r="Y30" s="36"/>
    </row>
    <row r="31" spans="1:25" ht="15">
      <c r="A31" s="23" t="s">
        <v>28</v>
      </c>
      <c r="B31" s="22">
        <v>2073.0300000000002</v>
      </c>
      <c r="C31" s="22"/>
      <c r="D31" s="22"/>
      <c r="E31" s="32"/>
      <c r="F31" s="41"/>
      <c r="G31" s="36"/>
      <c r="H31" s="22"/>
      <c r="I31" s="22"/>
      <c r="J31" s="22"/>
      <c r="K31" s="32"/>
      <c r="L31" s="41"/>
      <c r="M31" s="36"/>
      <c r="N31" s="22"/>
      <c r="O31" s="22"/>
      <c r="P31" s="22"/>
      <c r="Q31" s="32"/>
      <c r="R31" s="41"/>
      <c r="S31" s="36"/>
      <c r="T31" s="22"/>
      <c r="U31" s="22"/>
      <c r="V31" s="22"/>
      <c r="W31" s="32"/>
      <c r="X31" s="41"/>
      <c r="Y31" s="36"/>
    </row>
    <row r="32" spans="1:25" ht="15">
      <c r="A32" s="23" t="s">
        <v>29</v>
      </c>
      <c r="B32" s="22">
        <v>0</v>
      </c>
      <c r="C32" s="22"/>
      <c r="D32" s="22"/>
      <c r="E32" s="32"/>
      <c r="F32" s="41"/>
      <c r="G32" s="36"/>
      <c r="H32" s="22"/>
      <c r="I32" s="22"/>
      <c r="J32" s="22"/>
      <c r="K32" s="32"/>
      <c r="L32" s="41"/>
      <c r="M32" s="36"/>
      <c r="N32" s="22"/>
      <c r="O32" s="22"/>
      <c r="P32" s="22"/>
      <c r="Q32" s="32"/>
      <c r="R32" s="41"/>
      <c r="S32" s="36"/>
      <c r="T32" s="22"/>
      <c r="U32" s="22"/>
      <c r="V32" s="22"/>
      <c r="W32" s="32"/>
      <c r="X32" s="41"/>
      <c r="Y32" s="36"/>
    </row>
    <row r="33" spans="1:25" ht="15">
      <c r="A33" s="23" t="s">
        <v>30</v>
      </c>
      <c r="B33" s="22">
        <v>33.5</v>
      </c>
      <c r="C33" s="22"/>
      <c r="D33" s="22"/>
      <c r="E33" s="32"/>
      <c r="F33" s="38"/>
      <c r="G33" s="36"/>
      <c r="H33" s="22"/>
      <c r="I33" s="22"/>
      <c r="J33" s="22"/>
      <c r="K33" s="32"/>
      <c r="L33" s="38"/>
      <c r="M33" s="36"/>
      <c r="N33" s="22"/>
      <c r="O33" s="22"/>
      <c r="P33" s="22"/>
      <c r="Q33" s="32"/>
      <c r="R33" s="41"/>
      <c r="S33" s="36"/>
      <c r="T33" s="22"/>
      <c r="U33" s="22"/>
      <c r="V33" s="22"/>
      <c r="W33" s="32"/>
      <c r="X33" s="41"/>
      <c r="Y33" s="36"/>
    </row>
    <row r="34" spans="1:25" ht="15">
      <c r="A34" s="26" t="s">
        <v>31</v>
      </c>
      <c r="B34" s="27">
        <v>193.64</v>
      </c>
      <c r="C34" s="27"/>
      <c r="D34" s="27"/>
      <c r="E34" s="31"/>
      <c r="F34" s="40"/>
      <c r="G34" s="35"/>
      <c r="H34" s="27"/>
      <c r="I34" s="27"/>
      <c r="J34" s="27"/>
      <c r="K34" s="31"/>
      <c r="L34" s="40"/>
      <c r="M34" s="35"/>
      <c r="N34" s="27"/>
      <c r="O34" s="27"/>
      <c r="P34" s="21"/>
      <c r="Q34" s="31"/>
      <c r="R34" s="40"/>
      <c r="S34" s="35"/>
      <c r="T34" s="27"/>
      <c r="U34" s="27"/>
      <c r="V34" s="27"/>
      <c r="W34" s="31"/>
      <c r="X34" s="40"/>
      <c r="Y34" s="35"/>
    </row>
    <row r="35" spans="1:25" ht="15">
      <c r="A35" s="26" t="s">
        <v>32</v>
      </c>
      <c r="B35" s="27">
        <v>0</v>
      </c>
      <c r="C35" s="27"/>
      <c r="D35" s="27"/>
      <c r="E35" s="31"/>
      <c r="F35" s="40"/>
      <c r="G35" s="35"/>
      <c r="H35" s="27"/>
      <c r="I35" s="27"/>
      <c r="J35" s="27"/>
      <c r="K35" s="31"/>
      <c r="L35" s="40"/>
      <c r="M35" s="35"/>
      <c r="N35" s="27"/>
      <c r="O35" s="27"/>
      <c r="P35" s="21"/>
      <c r="Q35" s="31"/>
      <c r="R35" s="40"/>
      <c r="S35" s="35"/>
      <c r="T35" s="27"/>
      <c r="U35" s="27"/>
      <c r="V35" s="27"/>
      <c r="W35" s="31"/>
      <c r="X35" s="40"/>
      <c r="Y35" s="35"/>
    </row>
    <row r="36" spans="1:25" ht="15">
      <c r="A36" s="26" t="s">
        <v>34</v>
      </c>
      <c r="B36" s="28">
        <v>119.75</v>
      </c>
      <c r="C36" s="28"/>
      <c r="D36" s="28"/>
      <c r="E36" s="31"/>
      <c r="F36" s="40"/>
      <c r="G36" s="35"/>
      <c r="H36" s="28"/>
      <c r="I36" s="28"/>
      <c r="J36" s="28"/>
      <c r="K36" s="31"/>
      <c r="L36" s="40"/>
      <c r="M36" s="35"/>
      <c r="N36" s="28"/>
      <c r="O36" s="28"/>
      <c r="P36" s="28"/>
      <c r="Q36" s="31"/>
      <c r="R36" s="40"/>
      <c r="S36" s="35"/>
      <c r="T36" s="28"/>
      <c r="U36" s="28"/>
      <c r="V36" s="28"/>
      <c r="W36" s="31"/>
      <c r="X36" s="27"/>
      <c r="Y36" s="35"/>
    </row>
    <row r="37" spans="1:25" ht="15">
      <c r="A37" s="25" t="s">
        <v>33</v>
      </c>
      <c r="B37" s="22">
        <f>SUM(B24:B36)</f>
        <v>24902.459999999995</v>
      </c>
      <c r="C37" s="22"/>
      <c r="D37" s="22"/>
      <c r="E37" s="33"/>
      <c r="F37" s="39"/>
      <c r="G37" s="34"/>
      <c r="H37" s="22"/>
      <c r="I37" s="22"/>
      <c r="J37" s="22"/>
      <c r="K37" s="33"/>
      <c r="L37" s="39"/>
      <c r="M37" s="34"/>
      <c r="N37" s="22"/>
      <c r="O37" s="22"/>
      <c r="P37" s="22"/>
      <c r="Q37" s="33"/>
      <c r="R37" s="39"/>
      <c r="S37" s="34"/>
      <c r="T37" s="22"/>
      <c r="U37" s="22"/>
      <c r="V37" s="22"/>
      <c r="W37" s="33"/>
      <c r="X37" s="39"/>
      <c r="Y37" s="34"/>
    </row>
  </sheetData>
  <mergeCells count="8">
    <mergeCell ref="E3:G3"/>
    <mergeCell ref="K3:M3"/>
    <mergeCell ref="Q3:S3"/>
    <mergeCell ref="W3:Y3"/>
    <mergeCell ref="E22:G22"/>
    <mergeCell ref="K22:M22"/>
    <mergeCell ref="Q22:S22"/>
    <mergeCell ref="W22:Y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358F-576A-4267-A11D-4D543E436348}">
  <sheetPr codeName="Sheet8">
    <tabColor theme="8" tint="0.39997558519241921"/>
    <pageSetUpPr fitToPage="1"/>
  </sheetPr>
  <dimension ref="A1:D44"/>
  <sheetViews>
    <sheetView view="pageBreakPreview" topLeftCell="A11" zoomScale="60" zoomScaleNormal="60" workbookViewId="0">
      <selection activeCell="E21" sqref="E21"/>
    </sheetView>
  </sheetViews>
  <sheetFormatPr defaultColWidth="17.85546875" defaultRowHeight="12.75"/>
  <cols>
    <col min="1" max="1" width="44.140625" customWidth="1"/>
    <col min="2" max="2" width="60" customWidth="1"/>
    <col min="3" max="3" width="26" customWidth="1"/>
    <col min="4" max="4" width="21.140625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>
        <v>45593</v>
      </c>
      <c r="C7" s="1"/>
      <c r="D7" s="1"/>
    </row>
    <row r="8" spans="1:4" ht="25.5">
      <c r="A8" s="1"/>
      <c r="B8" s="1"/>
      <c r="C8" s="1"/>
      <c r="D8" s="1"/>
    </row>
    <row r="9" spans="1:4" ht="51">
      <c r="A9" s="1" t="s">
        <v>38</v>
      </c>
      <c r="B9" s="5" t="s">
        <v>39</v>
      </c>
      <c r="C9" s="15" t="s">
        <v>40</v>
      </c>
      <c r="D9" s="5">
        <v>1565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43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/>
      <c r="B15" s="14" t="e">
        <f>SUM(C37:C43)</f>
        <v>#REF!</v>
      </c>
      <c r="C15" s="1"/>
      <c r="D15" s="1"/>
    </row>
    <row r="16" spans="1:4" ht="25.5">
      <c r="A16" s="1"/>
      <c r="B16" s="14"/>
      <c r="C16" s="1"/>
      <c r="D16" s="1"/>
    </row>
    <row r="17" spans="1:4" ht="25.5">
      <c r="A17" s="1" t="s">
        <v>46</v>
      </c>
      <c r="B17" s="13" t="e">
        <f>SUM(B15:B16)</f>
        <v>#REF!</v>
      </c>
      <c r="C17" s="1"/>
      <c r="D17" s="1"/>
    </row>
    <row r="18" spans="1:4" ht="25.5">
      <c r="A18" s="1"/>
      <c r="B18" s="1"/>
      <c r="C18" s="1"/>
      <c r="D18" s="1"/>
    </row>
    <row r="19" spans="1:4" ht="25.5">
      <c r="A19" s="1" t="s">
        <v>47</v>
      </c>
      <c r="B19" s="5" t="s">
        <v>48</v>
      </c>
      <c r="C19" s="1"/>
      <c r="D19" s="1"/>
    </row>
    <row r="20" spans="1:4" ht="25.5">
      <c r="A20" s="1"/>
      <c r="B20" s="8" t="s">
        <v>49</v>
      </c>
      <c r="C20" s="1"/>
      <c r="D20" s="1"/>
    </row>
    <row r="21" spans="1:4" ht="25.5">
      <c r="A21" s="1"/>
      <c r="B21" s="12"/>
      <c r="C21" s="1"/>
      <c r="D21" s="1"/>
    </row>
    <row r="22" spans="1:4" ht="25.5">
      <c r="A22" s="1"/>
      <c r="B22" s="6" t="s">
        <v>50</v>
      </c>
      <c r="C22" s="1"/>
      <c r="D22" s="1"/>
    </row>
    <row r="23" spans="1:4" ht="25.5">
      <c r="A23" s="1"/>
      <c r="B23" s="1"/>
      <c r="C23" s="1"/>
      <c r="D23" s="1"/>
    </row>
    <row r="24" spans="1:4" ht="25.5">
      <c r="A24" s="1" t="s">
        <v>51</v>
      </c>
      <c r="B24" s="5" t="s">
        <v>52</v>
      </c>
      <c r="C24" s="1" t="s">
        <v>37</v>
      </c>
      <c r="D24" s="4">
        <f>B7</f>
        <v>45593</v>
      </c>
    </row>
    <row r="25" spans="1:4" ht="25.5">
      <c r="A25" s="1"/>
      <c r="B25" s="9"/>
      <c r="C25" s="1"/>
      <c r="D25" s="10"/>
    </row>
    <row r="26" spans="1:4" ht="25.5">
      <c r="A26" s="1"/>
      <c r="B26" s="1"/>
      <c r="C26" s="1"/>
      <c r="D26" s="1"/>
    </row>
    <row r="27" spans="1:4" ht="25.5">
      <c r="A27" s="1" t="s">
        <v>53</v>
      </c>
      <c r="B27" s="5"/>
      <c r="C27" s="1" t="s">
        <v>37</v>
      </c>
      <c r="D27" s="5"/>
    </row>
    <row r="28" spans="1:4" ht="25.5">
      <c r="A28" s="1"/>
      <c r="B28" s="1"/>
      <c r="C28" s="1"/>
      <c r="D28" s="1"/>
    </row>
    <row r="29" spans="1:4" ht="25.5">
      <c r="A29" s="1" t="s">
        <v>53</v>
      </c>
      <c r="B29" s="5"/>
      <c r="C29" s="1" t="s">
        <v>37</v>
      </c>
      <c r="D29" s="5"/>
    </row>
    <row r="30" spans="1:4" ht="25.5">
      <c r="A30" s="1"/>
      <c r="B30" s="1"/>
      <c r="C30" s="1"/>
      <c r="D30" s="1"/>
    </row>
    <row r="31" spans="1:4" ht="25.5">
      <c r="A31" s="1"/>
      <c r="B31" s="1"/>
      <c r="C31" s="1"/>
      <c r="D31" s="1"/>
    </row>
    <row r="32" spans="1:4" ht="25.5">
      <c r="A32" s="1" t="s">
        <v>54</v>
      </c>
      <c r="B32" s="11">
        <v>2005</v>
      </c>
      <c r="C32" s="1"/>
      <c r="D32" s="1"/>
    </row>
    <row r="33" spans="1:4" ht="25.5">
      <c r="A33" s="1" t="s">
        <v>55</v>
      </c>
      <c r="B33" s="11" t="s">
        <v>56</v>
      </c>
      <c r="C33" s="1"/>
      <c r="D33" s="1"/>
    </row>
    <row r="34" spans="1:4" ht="25.5">
      <c r="A34" s="1" t="s">
        <v>57</v>
      </c>
      <c r="B34" s="6" t="s">
        <v>58</v>
      </c>
      <c r="C34" s="1"/>
      <c r="D34" s="1"/>
    </row>
    <row r="35" spans="1:4" ht="25.5">
      <c r="A35" s="1"/>
      <c r="B35" s="1"/>
      <c r="C35" s="1"/>
      <c r="D35" s="1"/>
    </row>
    <row r="36" spans="1:4" ht="26.25">
      <c r="A36" s="16" t="s">
        <v>59</v>
      </c>
      <c r="B36" s="17" t="s">
        <v>60</v>
      </c>
      <c r="C36" s="16" t="s">
        <v>61</v>
      </c>
      <c r="D36" s="1"/>
    </row>
    <row r="37" spans="1:4" ht="25.5">
      <c r="A37" s="1" t="s">
        <v>62</v>
      </c>
      <c r="B37" s="18">
        <v>586771</v>
      </c>
      <c r="C37" s="19" t="e">
        <f>#REF!</f>
        <v>#REF!</v>
      </c>
      <c r="D37" s="1"/>
    </row>
    <row r="38" spans="1:4" ht="25.5">
      <c r="A38" s="1" t="s">
        <v>63</v>
      </c>
      <c r="B38" s="18">
        <v>586659</v>
      </c>
      <c r="C38" s="19" t="e">
        <f>#REF!</f>
        <v>#REF!</v>
      </c>
      <c r="D38" s="1"/>
    </row>
    <row r="39" spans="1:4" ht="25.5">
      <c r="A39" s="1" t="s">
        <v>64</v>
      </c>
      <c r="B39" s="18">
        <v>586647</v>
      </c>
      <c r="C39" s="19" t="e">
        <f>#REF!</f>
        <v>#REF!</v>
      </c>
      <c r="D39" s="1"/>
    </row>
    <row r="40" spans="1:4" ht="25.5">
      <c r="A40" s="1" t="s">
        <v>65</v>
      </c>
      <c r="B40" s="18">
        <v>560608</v>
      </c>
      <c r="C40" s="19" t="e">
        <f>#REF!</f>
        <v>#REF!</v>
      </c>
      <c r="D40" s="1"/>
    </row>
    <row r="41" spans="1:4" ht="25.5">
      <c r="A41" s="1" t="s">
        <v>66</v>
      </c>
      <c r="B41" s="18">
        <v>586660</v>
      </c>
      <c r="C41" s="19" t="e">
        <f>#REF!</f>
        <v>#REF!</v>
      </c>
      <c r="D41" s="1"/>
    </row>
    <row r="42" spans="1:4" ht="25.5">
      <c r="A42" s="1" t="s">
        <v>67</v>
      </c>
      <c r="B42" s="18">
        <v>552108</v>
      </c>
      <c r="C42" s="19" t="e">
        <f>#REF!</f>
        <v>#REF!</v>
      </c>
      <c r="D42" s="1"/>
    </row>
    <row r="43" spans="1:4" ht="25.5">
      <c r="A43" s="1" t="s">
        <v>68</v>
      </c>
      <c r="B43" s="18">
        <v>595423</v>
      </c>
      <c r="C43" s="19" t="e">
        <f>#REF!</f>
        <v>#REF!</v>
      </c>
      <c r="D43" s="1"/>
    </row>
    <row r="44" spans="1:4" ht="25.5">
      <c r="A44" s="1"/>
      <c r="B44" s="1"/>
      <c r="C44" s="1"/>
      <c r="D44" s="1"/>
    </row>
  </sheetData>
  <pageMargins left="0.7" right="0.7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BAFC-C44C-47E5-84A1-D107046C1075}">
  <sheetPr codeName="Sheet9">
    <tabColor theme="8" tint="0.39997558519241921"/>
  </sheetPr>
  <dimension ref="A1:D33"/>
  <sheetViews>
    <sheetView view="pageBreakPreview" zoomScale="60" zoomScaleNormal="80" workbookViewId="0">
      <selection activeCell="H20" sqref="H20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19.42578125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>
        <f>'Check Request - Monte Multiples'!B7</f>
        <v>45593</v>
      </c>
      <c r="C7" s="1"/>
      <c r="D7" s="1"/>
    </row>
    <row r="8" spans="1:4" ht="25.5">
      <c r="A8" s="1"/>
      <c r="B8" s="1"/>
      <c r="C8" s="1"/>
      <c r="D8" s="1"/>
    </row>
    <row r="9" spans="1:4" ht="47.25" customHeight="1">
      <c r="A9" s="1" t="s">
        <v>38</v>
      </c>
      <c r="B9" s="20" t="s">
        <v>69</v>
      </c>
      <c r="C9" s="15" t="str">
        <f>'Check Request - Monte Multiples'!C9</f>
        <v>WD Supplier#</v>
      </c>
      <c r="D9" s="5">
        <v>1592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70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str">
        <f>'Check Request - Monte Multiples'!B20</f>
        <v>Q3 2024 Rebate Calculation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str">
        <f>'Check Request - Monte Multiples'!B24</f>
        <v>Jorge Perez Rodriguez</v>
      </c>
      <c r="C21" s="1" t="s">
        <v>37</v>
      </c>
      <c r="D21" s="4">
        <f>B7</f>
        <v>45593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2005</v>
      </c>
      <c r="C29" s="1"/>
      <c r="D29" s="1"/>
    </row>
    <row r="30" spans="1:4" ht="25.5">
      <c r="A30" s="1" t="s">
        <v>55</v>
      </c>
      <c r="B30" s="11" t="s">
        <v>56</v>
      </c>
      <c r="C30" s="1"/>
      <c r="D30" s="1"/>
    </row>
    <row r="31" spans="1:4" ht="25.5">
      <c r="A31" s="1" t="s">
        <v>57</v>
      </c>
      <c r="B31" s="6" t="str">
        <f>'Check Request - Monte Multiples'!B34</f>
        <v>Montefiore Rebates</v>
      </c>
      <c r="C31" s="1"/>
      <c r="D31" s="1"/>
    </row>
    <row r="32" spans="1:4" ht="25.5">
      <c r="A32" s="1" t="s">
        <v>60</v>
      </c>
      <c r="B32" s="11">
        <v>587114</v>
      </c>
      <c r="C32" s="1"/>
      <c r="D32" s="1"/>
    </row>
    <row r="33" spans="1:4" ht="25.5">
      <c r="A33" s="1"/>
      <c r="B33" s="1"/>
      <c r="C33" s="1"/>
      <c r="D33" s="1"/>
    </row>
  </sheetData>
  <pageMargins left="0.7" right="0.7" top="0.75" bottom="0.75" header="0.3" footer="0.3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EB9F-77E3-4EDC-A1E7-73105FB8BAA7}">
  <sheetPr codeName="Sheet10">
    <tabColor theme="8" tint="0.39997558519241921"/>
  </sheetPr>
  <dimension ref="A1:D33"/>
  <sheetViews>
    <sheetView view="pageBreakPreview" zoomScale="60" zoomScaleNormal="80" workbookViewId="0">
      <selection activeCell="C11" sqref="C11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20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>
        <f>'Check Request - Monte Multiples'!B7</f>
        <v>45593</v>
      </c>
      <c r="C7" s="1"/>
      <c r="D7" s="1"/>
    </row>
    <row r="8" spans="1:4" ht="25.5">
      <c r="A8" s="1"/>
      <c r="B8" s="1"/>
      <c r="C8" s="1"/>
      <c r="D8" s="1"/>
    </row>
    <row r="9" spans="1:4" ht="47.25" customHeight="1">
      <c r="A9" s="1" t="s">
        <v>38</v>
      </c>
      <c r="B9" s="20" t="s">
        <v>71</v>
      </c>
      <c r="C9" s="15" t="str">
        <f>'Check Request - Mt Vernon'!C9</f>
        <v>WD Supplier#</v>
      </c>
      <c r="D9" s="5">
        <v>1593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43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str">
        <f>'Check Request - Monte Multiples'!B20</f>
        <v>Q3 2024 Rebate Calculation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str">
        <f>'Check Request - Monte Multiples'!B24</f>
        <v>Jorge Perez Rodriguez</v>
      </c>
      <c r="C21" s="1" t="s">
        <v>37</v>
      </c>
      <c r="D21" s="4">
        <f>B7</f>
        <v>45593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2005</v>
      </c>
      <c r="C29" s="1"/>
      <c r="D29" s="1"/>
    </row>
    <row r="30" spans="1:4" ht="25.5">
      <c r="A30" s="1" t="s">
        <v>72</v>
      </c>
      <c r="B30" s="11" t="s">
        <v>56</v>
      </c>
      <c r="C30" s="1"/>
      <c r="D30" s="1"/>
    </row>
    <row r="31" spans="1:4" ht="25.5">
      <c r="A31" s="1" t="s">
        <v>57</v>
      </c>
      <c r="B31" s="6" t="str">
        <f>'Check Request - Monte Multiples'!B34</f>
        <v>Montefiore Rebates</v>
      </c>
      <c r="C31" s="1"/>
      <c r="D31" s="1"/>
    </row>
    <row r="32" spans="1:4" ht="25.5">
      <c r="A32" s="1" t="s">
        <v>60</v>
      </c>
      <c r="B32" s="11">
        <v>587106</v>
      </c>
      <c r="C32" s="1"/>
      <c r="D32" s="1"/>
    </row>
    <row r="33" spans="1:4" ht="25.5">
      <c r="A33" s="1"/>
      <c r="B33" s="1"/>
      <c r="C33" s="1"/>
      <c r="D33" s="1"/>
    </row>
  </sheetData>
  <pageMargins left="0.7" right="0.7" top="0.75" bottom="0.75" header="0.3" footer="0.3"/>
  <pageSetup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98BB-965C-41E7-958F-DA688F2F48FF}">
  <sheetPr codeName="Sheet11">
    <tabColor theme="8" tint="0.39997558519241921"/>
  </sheetPr>
  <dimension ref="A1:D33"/>
  <sheetViews>
    <sheetView view="pageBreakPreview" zoomScale="60" zoomScaleNormal="80" workbookViewId="0">
      <selection activeCell="O23" sqref="O23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19.42578125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>
        <f>'Check Request - Monte Multiples'!B7</f>
        <v>45593</v>
      </c>
      <c r="C7" s="1"/>
      <c r="D7" s="1"/>
    </row>
    <row r="8" spans="1:4" ht="25.5">
      <c r="A8" s="1"/>
      <c r="B8" s="1"/>
      <c r="C8" s="1"/>
      <c r="D8" s="1"/>
    </row>
    <row r="9" spans="1:4" ht="47.25" customHeight="1">
      <c r="A9" s="1" t="s">
        <v>38</v>
      </c>
      <c r="B9" s="20" t="s">
        <v>73</v>
      </c>
      <c r="C9" s="15" t="str">
        <f>'Check Request - New Rochelle.'!C9</f>
        <v>WD Supplier#</v>
      </c>
      <c r="D9" s="5">
        <v>2399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74</v>
      </c>
      <c r="C11" s="1"/>
      <c r="D11" s="1"/>
    </row>
    <row r="12" spans="1:4" ht="25.5">
      <c r="A12" s="1"/>
      <c r="B12" s="5" t="s">
        <v>75</v>
      </c>
      <c r="C12" s="1"/>
      <c r="D12" s="1"/>
    </row>
    <row r="13" spans="1:4" ht="25.5">
      <c r="A13" s="1"/>
      <c r="B13" s="5"/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str">
        <f>'Check Request - Monte Multiples'!B20</f>
        <v>Q3 2024 Rebate Calculation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str">
        <f>'Check Request - Monte Multiples'!B24</f>
        <v>Jorge Perez Rodriguez</v>
      </c>
      <c r="C21" s="1" t="s">
        <v>37</v>
      </c>
      <c r="D21" s="4">
        <f>B7</f>
        <v>45593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2005</v>
      </c>
      <c r="C29" s="1"/>
      <c r="D29" s="1"/>
    </row>
    <row r="30" spans="1:4" ht="25.5">
      <c r="A30" s="1" t="s">
        <v>55</v>
      </c>
      <c r="B30" s="11" t="s">
        <v>56</v>
      </c>
      <c r="C30" s="1"/>
      <c r="D30" s="1"/>
    </row>
    <row r="31" spans="1:4" ht="25.5">
      <c r="A31" s="1" t="s">
        <v>57</v>
      </c>
      <c r="B31" s="6" t="str">
        <f>'Check Request - Monte Multiples'!B34</f>
        <v>Montefiore Rebates</v>
      </c>
      <c r="C31" s="1"/>
      <c r="D31" s="1"/>
    </row>
    <row r="32" spans="1:4" ht="25.5">
      <c r="A32" s="1" t="s">
        <v>60</v>
      </c>
      <c r="B32" s="11">
        <v>587067</v>
      </c>
      <c r="C32" s="1"/>
      <c r="D32" s="1"/>
    </row>
    <row r="33" spans="1:4" ht="25.5">
      <c r="A33" s="1"/>
      <c r="B33" s="1"/>
      <c r="C33" s="1"/>
      <c r="D33" s="1"/>
    </row>
  </sheetData>
  <pageMargins left="0.7" right="0.7" top="0.75" bottom="0.75" header="0.3" footer="0.3"/>
  <pageSetup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EE90-CE35-4D8C-9483-F2BF457FDF74}">
  <sheetPr codeName="Sheet13">
    <tabColor theme="8" tint="0.39997558519241921"/>
    <pageSetUpPr fitToPage="1"/>
  </sheetPr>
  <dimension ref="A1:D37"/>
  <sheetViews>
    <sheetView view="pageBreakPreview" topLeftCell="A7" zoomScale="60" zoomScaleNormal="100" workbookViewId="0">
      <selection activeCell="K15" sqref="K15"/>
    </sheetView>
  </sheetViews>
  <sheetFormatPr defaultColWidth="17.85546875" defaultRowHeight="12.75"/>
  <cols>
    <col min="1" max="1" width="36.28515625" customWidth="1"/>
    <col min="2" max="2" width="62.28515625" customWidth="1"/>
    <col min="3" max="3" width="19.5703125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>
        <f>'Check Request - Monte Multiples'!B7</f>
        <v>45593</v>
      </c>
      <c r="C7" s="1"/>
      <c r="D7" s="1"/>
    </row>
    <row r="8" spans="1:4" ht="25.5">
      <c r="A8" s="1"/>
      <c r="B8" s="1"/>
      <c r="C8" s="1"/>
      <c r="D8" s="1"/>
    </row>
    <row r="9" spans="1:4" ht="51">
      <c r="A9" s="1" t="s">
        <v>38</v>
      </c>
      <c r="B9" s="5" t="s">
        <v>76</v>
      </c>
      <c r="C9" s="15" t="str">
        <f>'Check Request - Monte Multiples'!C9</f>
        <v>WD Supplier#</v>
      </c>
      <c r="D9" s="5">
        <v>1634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43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/>
      <c r="B15" s="1"/>
      <c r="C15" s="1"/>
      <c r="D15" s="1"/>
    </row>
    <row r="16" spans="1:4" ht="25.5">
      <c r="A16" s="1"/>
      <c r="B16" s="14" t="e">
        <f>#REF!</f>
        <v>#REF!</v>
      </c>
      <c r="C16" s="1"/>
      <c r="D16" s="1"/>
    </row>
    <row r="17" spans="1:4" ht="25.5">
      <c r="A17" s="1"/>
      <c r="B17" s="14"/>
      <c r="C17" s="1"/>
      <c r="D17" s="1"/>
    </row>
    <row r="18" spans="1:4" ht="25.5">
      <c r="A18" s="1" t="s">
        <v>46</v>
      </c>
      <c r="B18" s="13" t="e">
        <f>SUM(B16:B17)</f>
        <v>#REF!</v>
      </c>
      <c r="C18" s="1"/>
      <c r="D18" s="1"/>
    </row>
    <row r="19" spans="1:4" ht="25.5">
      <c r="A19" s="1"/>
      <c r="B19" s="1"/>
      <c r="C19" s="1"/>
      <c r="D19" s="1"/>
    </row>
    <row r="20" spans="1:4" ht="25.5">
      <c r="A20" s="1" t="s">
        <v>47</v>
      </c>
      <c r="B20" s="5" t="s">
        <v>48</v>
      </c>
      <c r="C20" s="1"/>
      <c r="D20" s="1"/>
    </row>
    <row r="21" spans="1:4" ht="25.5">
      <c r="A21" s="1"/>
      <c r="B21" s="8" t="str">
        <f>'Check Request - Monte Multiples'!B20</f>
        <v>Q3 2024 Rebate Calculation</v>
      </c>
      <c r="C21" s="1"/>
      <c r="D21" s="1"/>
    </row>
    <row r="22" spans="1:4" ht="25.5">
      <c r="A22" s="1"/>
      <c r="B22" s="12"/>
      <c r="C22" s="1"/>
      <c r="D22" s="1"/>
    </row>
    <row r="23" spans="1:4" ht="25.5">
      <c r="A23" s="1"/>
      <c r="B23" s="6" t="s">
        <v>50</v>
      </c>
      <c r="C23" s="1"/>
      <c r="D23" s="1"/>
    </row>
    <row r="24" spans="1:4" ht="25.5">
      <c r="A24" s="1"/>
      <c r="B24" s="1"/>
      <c r="C24" s="1"/>
      <c r="D24" s="1"/>
    </row>
    <row r="25" spans="1:4" ht="25.5">
      <c r="A25" s="1" t="s">
        <v>51</v>
      </c>
      <c r="B25" s="5" t="str">
        <f>'Check Request - Monte Multiples'!B24</f>
        <v>Jorge Perez Rodriguez</v>
      </c>
      <c r="C25" s="1" t="s">
        <v>37</v>
      </c>
      <c r="D25" s="4">
        <f>B7</f>
        <v>45593</v>
      </c>
    </row>
    <row r="26" spans="1:4" ht="25.5">
      <c r="A26" s="1"/>
      <c r="B26" s="9"/>
      <c r="C26" s="1"/>
      <c r="D26" s="10"/>
    </row>
    <row r="27" spans="1:4" ht="25.5">
      <c r="A27" s="1"/>
      <c r="B27" s="1"/>
      <c r="C27" s="1"/>
      <c r="D27" s="1"/>
    </row>
    <row r="28" spans="1:4" ht="25.5">
      <c r="A28" s="1" t="s">
        <v>53</v>
      </c>
      <c r="B28" s="5"/>
      <c r="C28" s="1" t="s">
        <v>37</v>
      </c>
      <c r="D28" s="5"/>
    </row>
    <row r="29" spans="1:4" ht="25.5">
      <c r="A29" s="1"/>
      <c r="B29" s="1"/>
      <c r="C29" s="1"/>
      <c r="D29" s="1"/>
    </row>
    <row r="30" spans="1:4" ht="25.5">
      <c r="A30" s="1" t="s">
        <v>53</v>
      </c>
      <c r="B30" s="5"/>
      <c r="C30" s="1" t="s">
        <v>37</v>
      </c>
      <c r="D30" s="5"/>
    </row>
    <row r="31" spans="1:4" ht="25.5">
      <c r="A31" s="1"/>
      <c r="B31" s="1"/>
      <c r="C31" s="1"/>
      <c r="D31" s="1"/>
    </row>
    <row r="32" spans="1:4" ht="25.5">
      <c r="A32" s="1"/>
      <c r="B32" s="1"/>
      <c r="C32" s="1"/>
      <c r="D32" s="1"/>
    </row>
    <row r="33" spans="1:4" ht="25.5">
      <c r="A33" s="1" t="s">
        <v>54</v>
      </c>
      <c r="B33" s="11">
        <v>2005</v>
      </c>
      <c r="C33" s="1"/>
      <c r="D33" s="1"/>
    </row>
    <row r="34" spans="1:4" ht="25.5">
      <c r="A34" s="1" t="s">
        <v>55</v>
      </c>
      <c r="B34" s="11" t="s">
        <v>56</v>
      </c>
      <c r="C34" s="1"/>
      <c r="D34" s="1"/>
    </row>
    <row r="35" spans="1:4" ht="25.5">
      <c r="A35" s="1" t="s">
        <v>57</v>
      </c>
      <c r="B35" s="6" t="s">
        <v>58</v>
      </c>
      <c r="C35" s="1"/>
      <c r="D35" s="1"/>
    </row>
    <row r="36" spans="1:4" ht="25.5">
      <c r="A36" s="1" t="s">
        <v>60</v>
      </c>
      <c r="B36" s="11">
        <v>587045</v>
      </c>
      <c r="C36" s="1"/>
      <c r="D36" s="1"/>
    </row>
    <row r="37" spans="1:4" ht="25.5">
      <c r="A37" s="1"/>
      <c r="B37" s="1"/>
      <c r="C37" s="1"/>
      <c r="D37" s="1"/>
    </row>
  </sheetData>
  <pageMargins left="0.7" right="0.7" top="0.75" bottom="0.75" header="0.3" footer="0.3"/>
  <pageSetup scale="6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D0A6-262F-4933-8106-9F18FA57817B}">
  <sheetPr codeName="Sheet14"/>
  <dimension ref="A1:D32"/>
  <sheetViews>
    <sheetView view="pageBreakPreview" zoomScale="60" zoomScaleNormal="80" workbookViewId="0">
      <selection activeCell="B10" sqref="B10:B13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17.5703125" bestFit="1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 t="e">
        <f>#REF!</f>
        <v>#REF!</v>
      </c>
      <c r="C7" s="1"/>
      <c r="D7" s="1"/>
    </row>
    <row r="8" spans="1:4" ht="25.5">
      <c r="A8" s="1"/>
      <c r="B8" s="1"/>
      <c r="C8" s="1"/>
      <c r="D8" s="1"/>
    </row>
    <row r="9" spans="1:4" ht="25.5">
      <c r="A9" s="1" t="s">
        <v>38</v>
      </c>
      <c r="B9" s="5" t="s">
        <v>77</v>
      </c>
      <c r="C9" s="1" t="s">
        <v>78</v>
      </c>
      <c r="D9" s="5">
        <v>18767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79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e">
        <f>#REF!</f>
        <v>#REF!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e">
        <f>#REF!</f>
        <v>#REF!</v>
      </c>
      <c r="C21" s="1" t="s">
        <v>37</v>
      </c>
      <c r="D21" s="4" t="e">
        <f>#REF!</f>
        <v>#REF!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220095</v>
      </c>
      <c r="C29" s="1"/>
      <c r="D29" s="1"/>
    </row>
    <row r="30" spans="1:4" ht="25.5">
      <c r="A30" s="1" t="s">
        <v>80</v>
      </c>
      <c r="B30" s="6"/>
      <c r="C30" s="1"/>
      <c r="D30" s="1"/>
    </row>
    <row r="31" spans="1:4" ht="25.5">
      <c r="A31" s="1" t="s">
        <v>81</v>
      </c>
      <c r="B31" s="11">
        <v>414324</v>
      </c>
      <c r="C31" s="1"/>
      <c r="D31" s="1"/>
    </row>
    <row r="32" spans="1:4" ht="25.5">
      <c r="A32" s="1"/>
      <c r="B32" s="1"/>
      <c r="C32" s="1"/>
      <c r="D32" s="1"/>
    </row>
  </sheetData>
  <pageMargins left="0.7" right="0.7" top="0.75" bottom="0.75" header="0.3" footer="0.3"/>
  <pageSetup scale="6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2D89-F805-4472-B949-A5C7F64E6A6C}">
  <sheetPr codeName="Sheet15"/>
  <dimension ref="A1:D32"/>
  <sheetViews>
    <sheetView view="pageBreakPreview" zoomScale="60" zoomScaleNormal="80" workbookViewId="0">
      <selection activeCell="B10" sqref="B10:B13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17.5703125" bestFit="1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 t="e">
        <f>#REF!</f>
        <v>#REF!</v>
      </c>
      <c r="C7" s="1"/>
      <c r="D7" s="1"/>
    </row>
    <row r="8" spans="1:4" ht="25.5">
      <c r="A8" s="1"/>
      <c r="B8" s="1"/>
      <c r="C8" s="1"/>
      <c r="D8" s="1"/>
    </row>
    <row r="9" spans="1:4" ht="25.5">
      <c r="A9" s="1" t="s">
        <v>38</v>
      </c>
      <c r="B9" s="5" t="s">
        <v>82</v>
      </c>
      <c r="C9" s="1" t="s">
        <v>78</v>
      </c>
      <c r="D9" s="5">
        <v>18767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79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e">
        <f>#REF!</f>
        <v>#REF!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e">
        <f>#REF!</f>
        <v>#REF!</v>
      </c>
      <c r="C21" s="1" t="s">
        <v>37</v>
      </c>
      <c r="D21" s="4" t="e">
        <f>#REF!</f>
        <v>#REF!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220095</v>
      </c>
      <c r="C29" s="1"/>
      <c r="D29" s="1"/>
    </row>
    <row r="30" spans="1:4" ht="25.5">
      <c r="A30" s="1" t="s">
        <v>80</v>
      </c>
      <c r="B30" s="6"/>
      <c r="C30" s="1"/>
      <c r="D30" s="1"/>
    </row>
    <row r="31" spans="1:4" ht="25.5">
      <c r="A31" s="1" t="s">
        <v>81</v>
      </c>
      <c r="B31" s="11">
        <v>414321</v>
      </c>
      <c r="C31" s="1"/>
      <c r="D31" s="1"/>
    </row>
    <row r="32" spans="1:4" ht="25.5">
      <c r="A32" s="1"/>
      <c r="B32" s="1"/>
      <c r="C32" s="1"/>
      <c r="D32" s="1"/>
    </row>
  </sheetData>
  <pageMargins left="0.7" right="0.7" top="0.75" bottom="0.75" header="0.3" footer="0.3"/>
  <pageSetup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2023-EBB9-4754-B380-A20F68726716}">
  <sheetPr codeName="Sheet16"/>
  <dimension ref="A1:D32"/>
  <sheetViews>
    <sheetView view="pageBreakPreview" zoomScale="60" zoomScaleNormal="80" workbookViewId="0">
      <selection activeCell="B10" sqref="B10:B13"/>
    </sheetView>
  </sheetViews>
  <sheetFormatPr defaultColWidth="17.85546875" defaultRowHeight="12.75"/>
  <cols>
    <col min="1" max="1" width="38.42578125" bestFit="1" customWidth="1"/>
    <col min="2" max="2" width="57.5703125" bestFit="1" customWidth="1"/>
    <col min="3" max="3" width="17.5703125" bestFit="1" customWidth="1"/>
    <col min="4" max="4" width="21.42578125" bestFit="1" customWidth="1"/>
  </cols>
  <sheetData>
    <row r="1" spans="1:4" ht="25.5">
      <c r="A1" s="1"/>
      <c r="B1" s="2" t="s">
        <v>35</v>
      </c>
      <c r="C1" s="1"/>
      <c r="D1" s="1"/>
    </row>
    <row r="2" spans="1:4" ht="25.5">
      <c r="A2" s="1"/>
      <c r="B2" s="2"/>
      <c r="C2" s="1"/>
      <c r="D2" s="1"/>
    </row>
    <row r="3" spans="1:4" ht="30">
      <c r="A3" s="1"/>
      <c r="B3" s="3" t="s">
        <v>36</v>
      </c>
      <c r="C3" s="1"/>
      <c r="D3" s="1"/>
    </row>
    <row r="4" spans="1:4" ht="25.5">
      <c r="A4" s="1"/>
      <c r="B4" s="1"/>
      <c r="C4" s="1"/>
      <c r="D4" s="1"/>
    </row>
    <row r="5" spans="1:4" ht="25.5">
      <c r="A5" s="1"/>
      <c r="B5" s="1"/>
      <c r="C5" s="1"/>
      <c r="D5" s="1"/>
    </row>
    <row r="6" spans="1:4" ht="25.5">
      <c r="A6" s="1"/>
      <c r="B6" s="1"/>
      <c r="C6" s="1"/>
      <c r="D6" s="1"/>
    </row>
    <row r="7" spans="1:4" ht="25.5">
      <c r="A7" s="1" t="s">
        <v>37</v>
      </c>
      <c r="B7" s="4" t="e">
        <f>#REF!</f>
        <v>#REF!</v>
      </c>
      <c r="C7" s="1"/>
      <c r="D7" s="1"/>
    </row>
    <row r="8" spans="1:4" ht="25.5">
      <c r="A8" s="1"/>
      <c r="B8" s="1"/>
      <c r="C8" s="1"/>
      <c r="D8" s="1"/>
    </row>
    <row r="9" spans="1:4" ht="25.5">
      <c r="A9" s="1" t="s">
        <v>38</v>
      </c>
      <c r="B9" s="5" t="s">
        <v>83</v>
      </c>
      <c r="C9" s="1" t="s">
        <v>78</v>
      </c>
      <c r="D9" s="5">
        <v>18767</v>
      </c>
    </row>
    <row r="10" spans="1:4" ht="25.5">
      <c r="A10" s="1" t="s">
        <v>41</v>
      </c>
      <c r="B10" s="5" t="s">
        <v>42</v>
      </c>
      <c r="C10" s="1"/>
      <c r="D10" s="1"/>
    </row>
    <row r="11" spans="1:4" ht="25.5">
      <c r="A11" s="1"/>
      <c r="B11" s="5" t="s">
        <v>79</v>
      </c>
      <c r="C11" s="1"/>
      <c r="D11" s="1"/>
    </row>
    <row r="12" spans="1:4" ht="25.5">
      <c r="A12" s="1"/>
      <c r="B12" s="5" t="s">
        <v>44</v>
      </c>
      <c r="C12" s="1"/>
      <c r="D12" s="1"/>
    </row>
    <row r="13" spans="1:4" ht="25.5">
      <c r="A13" s="1"/>
      <c r="B13" s="5" t="s">
        <v>45</v>
      </c>
      <c r="C13" s="1"/>
      <c r="D13" s="1"/>
    </row>
    <row r="14" spans="1:4" ht="25.5">
      <c r="A14" s="1"/>
      <c r="B14" s="1"/>
      <c r="C14" s="1"/>
      <c r="D14" s="1"/>
    </row>
    <row r="15" spans="1:4" ht="25.5">
      <c r="A15" s="1" t="s">
        <v>46</v>
      </c>
      <c r="B15" s="7" t="e">
        <f>#REF!</f>
        <v>#REF!</v>
      </c>
      <c r="C15" s="1"/>
      <c r="D15" s="1"/>
    </row>
    <row r="16" spans="1:4" ht="25.5">
      <c r="A16" s="1"/>
      <c r="B16" s="1"/>
      <c r="C16" s="1"/>
      <c r="D16" s="1"/>
    </row>
    <row r="17" spans="1:4" ht="25.5">
      <c r="A17" s="1" t="s">
        <v>47</v>
      </c>
      <c r="B17" s="5" t="s">
        <v>48</v>
      </c>
      <c r="C17" s="1"/>
      <c r="D17" s="1"/>
    </row>
    <row r="18" spans="1:4" ht="25.5">
      <c r="A18" s="1"/>
      <c r="B18" s="8" t="e">
        <f>#REF!</f>
        <v>#REF!</v>
      </c>
      <c r="C18" s="1"/>
      <c r="D18" s="1"/>
    </row>
    <row r="19" spans="1:4" ht="25.5">
      <c r="A19" s="1"/>
      <c r="B19" s="6" t="s">
        <v>50</v>
      </c>
      <c r="C19" s="1"/>
      <c r="D19" s="1"/>
    </row>
    <row r="20" spans="1:4" ht="25.5">
      <c r="A20" s="1"/>
      <c r="B20" s="1"/>
      <c r="C20" s="1"/>
      <c r="D20" s="1"/>
    </row>
    <row r="21" spans="1:4" ht="25.5">
      <c r="A21" s="1" t="s">
        <v>51</v>
      </c>
      <c r="B21" s="5" t="e">
        <f>#REF!</f>
        <v>#REF!</v>
      </c>
      <c r="C21" s="1" t="s">
        <v>37</v>
      </c>
      <c r="D21" s="4" t="e">
        <f>#REF!</f>
        <v>#REF!</v>
      </c>
    </row>
    <row r="22" spans="1:4" ht="25.5">
      <c r="A22" s="1"/>
      <c r="B22" s="9"/>
      <c r="C22" s="1"/>
      <c r="D22" s="10"/>
    </row>
    <row r="23" spans="1:4" ht="25.5">
      <c r="A23" s="1"/>
      <c r="B23" s="1"/>
      <c r="C23" s="1"/>
      <c r="D23" s="1"/>
    </row>
    <row r="24" spans="1:4" ht="25.5">
      <c r="A24" s="1" t="s">
        <v>53</v>
      </c>
      <c r="B24" s="5"/>
      <c r="C24" s="1" t="s">
        <v>37</v>
      </c>
      <c r="D24" s="5"/>
    </row>
    <row r="25" spans="1:4" ht="25.5">
      <c r="A25" s="1"/>
      <c r="B25" s="1"/>
      <c r="C25" s="1"/>
      <c r="D25" s="1"/>
    </row>
    <row r="26" spans="1:4" ht="25.5">
      <c r="A26" s="1" t="s">
        <v>53</v>
      </c>
      <c r="B26" s="5"/>
      <c r="C26" s="1" t="s">
        <v>37</v>
      </c>
      <c r="D26" s="5"/>
    </row>
    <row r="27" spans="1:4" ht="25.5">
      <c r="A27" s="1"/>
      <c r="B27" s="1"/>
      <c r="C27" s="1"/>
      <c r="D27" s="1"/>
    </row>
    <row r="28" spans="1:4" ht="25.5">
      <c r="A28" s="1"/>
      <c r="B28" s="1"/>
      <c r="C28" s="1"/>
      <c r="D28" s="1"/>
    </row>
    <row r="29" spans="1:4" ht="25.5">
      <c r="A29" s="1" t="s">
        <v>54</v>
      </c>
      <c r="B29" s="11">
        <v>220095</v>
      </c>
      <c r="C29" s="1"/>
      <c r="D29" s="1"/>
    </row>
    <row r="30" spans="1:4" ht="25.5">
      <c r="A30" s="1" t="s">
        <v>80</v>
      </c>
      <c r="B30" s="6"/>
      <c r="C30" s="1"/>
      <c r="D30" s="1"/>
    </row>
    <row r="31" spans="1:4" ht="25.5">
      <c r="A31" s="1" t="s">
        <v>81</v>
      </c>
      <c r="B31" s="11">
        <v>414323</v>
      </c>
      <c r="C31" s="1"/>
      <c r="D31" s="1"/>
    </row>
    <row r="32" spans="1:4" ht="25.5">
      <c r="A32" s="1"/>
      <c r="B32" s="1"/>
      <c r="C32" s="1"/>
      <c r="D32" s="1"/>
    </row>
  </sheetData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Schneider</dc:creator>
  <cp:keywords/>
  <dc:description/>
  <cp:lastModifiedBy>Wenzong Tong</cp:lastModifiedBy>
  <cp:revision/>
  <dcterms:created xsi:type="dcterms:W3CDTF">2017-11-17T15:00:21Z</dcterms:created>
  <dcterms:modified xsi:type="dcterms:W3CDTF">2026-04-07T17:44:52Z</dcterms:modified>
  <cp:category/>
  <cp:contentStatus/>
</cp:coreProperties>
</file>