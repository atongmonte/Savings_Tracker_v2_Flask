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lou\Documents\"/>
    </mc:Choice>
  </mc:AlternateContent>
  <xr:revisionPtr revIDLastSave="0" documentId="8_{ACF027DA-B722-4CA5-9183-3EE51BBE4DF6}" xr6:coauthVersionLast="47" xr6:coauthVersionMax="47" xr10:uidLastSave="{00000000-0000-0000-0000-000000000000}"/>
  <bookViews>
    <workbookView xWindow="-108" yWindow="-108" windowWidth="23256" windowHeight="12456" xr2:uid="{00000000-000D-0000-FFFF-FFFF00000000}"/>
  </bookViews>
  <sheets>
    <sheet name="RS" sheetId="5" r:id="rId1"/>
    <sheet name="Eligible Products" sheetId="1" r:id="rId2"/>
  </sheets>
  <definedNames>
    <definedName name="_xlnm.Print_Area" localSheetId="0">RS!$A$1:$E$24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5" l="1"/>
  <c r="A9" i="5" s="1"/>
  <c r="E17" i="5" l="1"/>
  <c r="D17" i="5"/>
  <c r="A14" i="5" l="1"/>
</calcChain>
</file>

<file path=xl/sharedStrings.xml><?xml version="1.0" encoding="utf-8"?>
<sst xmlns="http://schemas.openxmlformats.org/spreadsheetml/2006/main" count="903" uniqueCount="128">
  <si>
    <t>Sales Org Id</t>
  </si>
  <si>
    <t>Sales Org Desc</t>
  </si>
  <si>
    <t>Sold To Number</t>
  </si>
  <si>
    <t>Sold To Name</t>
  </si>
  <si>
    <t>Bill To Number</t>
  </si>
  <si>
    <t>Bill To Name</t>
  </si>
  <si>
    <t>Order Reason Code</t>
  </si>
  <si>
    <t>Order Reason Desc</t>
  </si>
  <si>
    <t>Kit Material Id</t>
  </si>
  <si>
    <t>Kit Desc</t>
  </si>
  <si>
    <t>MPG Id</t>
  </si>
  <si>
    <t>Material Group1 Id</t>
  </si>
  <si>
    <t>Material Group2 Id</t>
  </si>
  <si>
    <t>Obsolete Material Group3 Id</t>
  </si>
  <si>
    <t>Obsolete Material Group3 Desc</t>
  </si>
  <si>
    <t>US CVG Level 2 Desc</t>
  </si>
  <si>
    <t>US CVG Level 3 Desc</t>
  </si>
  <si>
    <t>US CVG Level 4 Desc</t>
  </si>
  <si>
    <t>US CVG Level 5 Desc</t>
  </si>
  <si>
    <t>CFN Id</t>
  </si>
  <si>
    <t>CFN Desc</t>
  </si>
  <si>
    <t>Lot Serial Number</t>
  </si>
  <si>
    <t>Invoice Date</t>
  </si>
  <si>
    <t>Invoice Number</t>
  </si>
  <si>
    <t>Sales Order PO Number</t>
  </si>
  <si>
    <t>District Manager</t>
  </si>
  <si>
    <t>Sales Rep Name</t>
  </si>
  <si>
    <t>Average Selling Price in TAR @ AOP FX</t>
  </si>
  <si>
    <t>Invoice Qty in Sales UOM</t>
  </si>
  <si>
    <t>Gross Sales in TAR @ AOP FX</t>
  </si>
  <si>
    <t>Rebate Amount</t>
  </si>
  <si>
    <t>Settlement Code</t>
  </si>
  <si>
    <t>SubOrder Reason Code</t>
  </si>
  <si>
    <t>SubOrder Reason Desc</t>
  </si>
  <si>
    <t>S001</t>
  </si>
  <si>
    <t>Sales Org - USA</t>
  </si>
  <si>
    <t>0001107847</t>
  </si>
  <si>
    <t>Montefiore Health System Inc</t>
  </si>
  <si>
    <t>0001107863</t>
  </si>
  <si>
    <t>999</t>
  </si>
  <si>
    <t>QED Bulk Purchase</t>
  </si>
  <si>
    <t>MICRAAV2SYSTEM</t>
  </si>
  <si>
    <t>Component</t>
  </si>
  <si>
    <t>A3</t>
  </si>
  <si>
    <t>C1A</t>
  </si>
  <si>
    <t>C2A</t>
  </si>
  <si>
    <t>C0X</t>
  </si>
  <si>
    <t>Micra Introducer</t>
  </si>
  <si>
    <t>CRM</t>
  </si>
  <si>
    <t>Low Power</t>
  </si>
  <si>
    <t>Leadless Pacing</t>
  </si>
  <si>
    <t>Leadless Accessories</t>
  </si>
  <si>
    <t>MI2355A</t>
  </si>
  <si>
    <t>INTRODUCER MI2355A MICRA 23F 55.7CM HYDR</t>
  </si>
  <si>
    <t>P2F25H0056</t>
  </si>
  <si>
    <t>2588286464</t>
  </si>
  <si>
    <t>3000439265-STPO</t>
  </si>
  <si>
    <t>KEVIN A CARNEVALE</t>
  </si>
  <si>
    <t>TESSA P PASQUALE</t>
  </si>
  <si>
    <t>0922</t>
  </si>
  <si>
    <t>C2 Rbt disc, excl from Oth Rbt</t>
  </si>
  <si>
    <t>C1B</t>
  </si>
  <si>
    <t>C2D</t>
  </si>
  <si>
    <t>CX7</t>
  </si>
  <si>
    <t>Micra AV MC2AVR1</t>
  </si>
  <si>
    <t>Micra</t>
  </si>
  <si>
    <t>MC2AVR1</t>
  </si>
  <si>
    <t>TPS MC2AVR1 MICRA AV2</t>
  </si>
  <si>
    <t>MVD681669E</t>
  </si>
  <si>
    <t>MVD681676E</t>
  </si>
  <si>
    <t>MVD681687E</t>
  </si>
  <si>
    <t>MVD681699E</t>
  </si>
  <si>
    <t>MVD681702E</t>
  </si>
  <si>
    <t>MVD681710E</t>
  </si>
  <si>
    <t>MVD681722E</t>
  </si>
  <si>
    <t>MVD681724E</t>
  </si>
  <si>
    <t>MVD681741E</t>
  </si>
  <si>
    <t>MVD681751E</t>
  </si>
  <si>
    <t>MVD681755E</t>
  </si>
  <si>
    <t>MVD681847E</t>
  </si>
  <si>
    <t>MVD681848E</t>
  </si>
  <si>
    <t>MVD681849E</t>
  </si>
  <si>
    <t>MVD681850E</t>
  </si>
  <si>
    <t>MVD681851E</t>
  </si>
  <si>
    <t>MVD681852E</t>
  </si>
  <si>
    <t>MVD681853E</t>
  </si>
  <si>
    <t>MVD681854E</t>
  </si>
  <si>
    <t>MVD681857E</t>
  </si>
  <si>
    <t>MICRAVR2SYSTEM</t>
  </si>
  <si>
    <t>P2F25J0071</t>
  </si>
  <si>
    <t>2588312489</t>
  </si>
  <si>
    <t>C2B</t>
  </si>
  <si>
    <t>CX8</t>
  </si>
  <si>
    <t>Micra VR MC2VR01</t>
  </si>
  <si>
    <t>MC2VR01</t>
  </si>
  <si>
    <t>TPS MC2VR01 MICRA VR2</t>
  </si>
  <si>
    <t>MVR628484E</t>
  </si>
  <si>
    <t>MVR628485E</t>
  </si>
  <si>
    <t>MVR628488E</t>
  </si>
  <si>
    <t>MVR628489E</t>
  </si>
  <si>
    <t>MVR628490E</t>
  </si>
  <si>
    <t>MVR628495E</t>
  </si>
  <si>
    <t>MVR628496E</t>
  </si>
  <si>
    <t>MVR628499E</t>
  </si>
  <si>
    <t>Sum:</t>
  </si>
  <si>
    <t>CRM Standard Bulk GSR</t>
  </si>
  <si>
    <t xml:space="preserve"> </t>
  </si>
  <si>
    <t>CVG Sales Finance</t>
  </si>
  <si>
    <t>Attn: CV Rebates</t>
  </si>
  <si>
    <t>710 Medtronic Pkwy NE, Mailstop LS320</t>
  </si>
  <si>
    <t>Minneapolis, MN 55432</t>
  </si>
  <si>
    <t>rs.rebatesmedtronicoperations@medtronic.com</t>
  </si>
  <si>
    <t>Customer</t>
  </si>
  <si>
    <t>Business Unit</t>
  </si>
  <si>
    <t>PO #</t>
  </si>
  <si>
    <t>Net Purchases</t>
  </si>
  <si>
    <t>Rebate Earned</t>
  </si>
  <si>
    <t>Product</t>
  </si>
  <si>
    <t>CFN ID</t>
  </si>
  <si>
    <t>Net puchases</t>
  </si>
  <si>
    <t>Rebate Percentage</t>
  </si>
  <si>
    <t>MICRAAV2SYSTEM Medtronic Micra™ AV 2 Transcatheter Pacing System</t>
  </si>
  <si>
    <r>
      <t xml:space="preserve">CUSTOMER REPORTING OBLIGATION.  </t>
    </r>
    <r>
      <rPr>
        <b/>
        <sz val="9"/>
        <rFont val="Arial"/>
        <family val="2"/>
      </rPr>
      <t xml:space="preserve">This document summarizes the products sold to Customer by Medtronic which are subject to discount, the calculation of the discounts, and the amount of the discounts.  Additional product-level detail is available upon Customer request.  </t>
    </r>
    <r>
      <rPr>
        <sz val="9"/>
        <rFont val="Arial"/>
        <family val="2"/>
      </rPr>
      <t>The Parties intend that these rebates, discounts, payments and credits provided to Customer comply with the exceptions to the Medicare and Medicaid Anti- Kickback statute set forth at 42 U.S.C. § 1320a-7b(b)(3) and the “Safe Harbor” regulations regarding discounts set forth in 42C.F.R. § 1001.952(h); and the Parties believe that the relationship contemplated by the Agreement is in compliance with those requirements.  As to such discounts and rebates, the Parties agree to fulfill their obligations under the Safe Harbor and the Customer agrees to report the discounts and rebates to its state or federal payors in accordance with the requirements of the Medicare/Medicaid Anti-Kickback Statute and Regulations and any applicable state or federal laws or regulations.</t>
    </r>
  </si>
  <si>
    <t>MICRAVR2SYSTEM Medtronic Micra™ VR 2 Transcatheter Pacing System (including Micra VR 2 Pacing Capsule, Micra Delivery Catheter, and Micra Introducer Sheath with Hydrophilic Coating)("Micra System")</t>
  </si>
  <si>
    <t>Rebate Period: FY26Q3 - 10.25.25</t>
  </si>
  <si>
    <t>Agreement: 202834 / ZDMF: 1091333</t>
  </si>
  <si>
    <t>Account # 0001107847</t>
  </si>
  <si>
    <t>CRM - BULK # 238528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</si>
</sst>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mm\/dd\/yyyy"/>
    <numFmt numFmtId="165" formatCode="\$#,##0.00;[Red]&quot;($&quot;#,##0.00\)"/>
    <numFmt numFmtId="166" formatCode="&quot;$&quot;#,##0.00"/>
  </numFmts>
  <fonts count="19" x14ac:knownFonts="1">
    <font>
      <sz val="10"/>
      <color rgb="FF000000"/>
      <name val="Arial"/>
    </font>
    <font>
      <sz val="11"/>
      <color theme="1"/>
      <name val="Aptos Narrow"/>
      <family val="2"/>
      <scheme val="minor"/>
    </font>
    <font>
      <sz val="9"/>
      <color rgb="FF333333"/>
      <name val="Arial"/>
      <family val="2"/>
    </font>
    <font>
      <b/>
      <sz val="9"/>
      <color rgb="FFFFFFFF"/>
      <name val="Arial"/>
      <family val="2"/>
    </font>
    <font>
      <b/>
      <sz val="9"/>
      <color rgb="FF333333"/>
      <name val="Arial"/>
      <family val="2"/>
    </font>
    <font>
      <b/>
      <sz val="12"/>
      <color rgb="FF333333"/>
      <name val="Arial"/>
      <family val="2"/>
    </font>
    <font>
      <sz val="10"/>
      <color rgb="FF000000"/>
      <name val="Arial"/>
      <family val="2"/>
    </font>
    <font>
      <sz val="10"/>
      <name val="Arial"/>
      <family val="2"/>
    </font>
    <font>
      <sz val="9"/>
      <name val="Calibri"/>
      <family val="2"/>
    </font>
    <font>
      <u/>
      <sz val="11"/>
      <color theme="10"/>
      <name val="Aptos Narrow"/>
      <family val="2"/>
      <scheme val="minor"/>
    </font>
    <font>
      <b/>
      <sz val="12"/>
      <name val="Arial"/>
      <family val="2"/>
    </font>
    <font>
      <b/>
      <sz val="11"/>
      <name val="Arial"/>
      <family val="2"/>
    </font>
    <font>
      <b/>
      <sz val="10"/>
      <name val="Arial"/>
      <family val="2"/>
    </font>
    <font>
      <sz val="11"/>
      <color rgb="FF000000"/>
      <name val="Arial"/>
      <family val="2"/>
    </font>
    <font>
      <sz val="9"/>
      <color rgb="FF000000"/>
      <name val="Tahoma"/>
      <family val="2"/>
    </font>
    <font>
      <b/>
      <u/>
      <sz val="9"/>
      <name val="Arial"/>
      <family val="2"/>
    </font>
    <font>
      <b/>
      <sz val="9"/>
      <name val="Arial"/>
      <family val="2"/>
    </font>
    <font>
      <sz val="9"/>
      <name val="Arial"/>
      <family val="2"/>
    </font>
    <font>
      <sz val="10"/>
      <color rgb="FFFF0000"/>
      <name val="Arial"/>
      <family val="2"/>
    </font>
  </fonts>
  <fills count="8">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99"/>
        <bgColor indexed="64"/>
      </patternFill>
    </fill>
    <fill>
      <patternFill patternType="solid">
        <fgColor indexed="43"/>
        <bgColor indexed="64"/>
      </patternFill>
    </fill>
    <fill>
      <patternFill patternType="solid">
        <fgColor rgb="FF99CCFF"/>
        <bgColor indexed="64"/>
      </patternFill>
    </fill>
  </fills>
  <borders count="20">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CAC9D9"/>
      </top>
      <bottom style="thin">
        <color rgb="FFEBEBEB"/>
      </bottom>
      <diagonal/>
    </border>
    <border>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10">
    <xf numFmtId="0" fontId="0" fillId="0" borderId="0"/>
    <xf numFmtId="9" fontId="6" fillId="0" borderId="0" applyFont="0" applyFill="0" applyBorder="0" applyAlignment="0" applyProtection="0"/>
    <xf numFmtId="0" fontId="7" fillId="0" borderId="0"/>
    <xf numFmtId="0" fontId="7" fillId="0" borderId="0"/>
    <xf numFmtId="0" fontId="1" fillId="0" borderId="0"/>
    <xf numFmtId="0" fontId="9" fillId="0" borderId="0" applyNumberForma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cellStyleXfs>
  <cellXfs count="66">
    <xf numFmtId="0" fontId="0" fillId="0" borderId="0" xfId="0"/>
    <xf numFmtId="0" fontId="2" fillId="2" borderId="0" xfId="0" applyFont="1" applyFill="1" applyAlignment="1">
      <alignment horizontal="left"/>
    </xf>
    <xf numFmtId="49" fontId="3" fillId="3" borderId="1" xfId="0" applyNumberFormat="1" applyFont="1" applyFill="1" applyBorder="1" applyAlignment="1">
      <alignment horizontal="left" wrapText="1"/>
    </xf>
    <xf numFmtId="49" fontId="2" fillId="4" borderId="2" xfId="0" applyNumberFormat="1" applyFont="1" applyFill="1" applyBorder="1" applyAlignment="1">
      <alignment horizontal="left"/>
    </xf>
    <xf numFmtId="164" fontId="2" fillId="4" borderId="2" xfId="0" applyNumberFormat="1" applyFont="1" applyFill="1" applyBorder="1" applyAlignment="1">
      <alignment horizontal="left"/>
    </xf>
    <xf numFmtId="49" fontId="2" fillId="4" borderId="2" xfId="0" applyNumberFormat="1" applyFont="1" applyFill="1" applyBorder="1" applyAlignment="1">
      <alignment horizontal="left" vertical="center"/>
    </xf>
    <xf numFmtId="165" fontId="2" fillId="4" borderId="2" xfId="0" applyNumberFormat="1" applyFont="1" applyFill="1" applyBorder="1" applyAlignment="1">
      <alignment horizontal="right"/>
    </xf>
    <xf numFmtId="0" fontId="2" fillId="4" borderId="2" xfId="0" applyFont="1" applyFill="1" applyBorder="1" applyAlignment="1">
      <alignment horizontal="right"/>
    </xf>
    <xf numFmtId="0" fontId="2" fillId="4" borderId="2" xfId="0" applyFont="1" applyFill="1" applyBorder="1" applyAlignment="1">
      <alignment horizontal="left"/>
    </xf>
    <xf numFmtId="49" fontId="2" fillId="2" borderId="2" xfId="0" applyNumberFormat="1" applyFont="1" applyFill="1" applyBorder="1" applyAlignment="1">
      <alignment horizontal="left"/>
    </xf>
    <xf numFmtId="164" fontId="2" fillId="2" borderId="2" xfId="0" applyNumberFormat="1" applyFont="1" applyFill="1" applyBorder="1" applyAlignment="1">
      <alignment horizontal="left"/>
    </xf>
    <xf numFmtId="49" fontId="2" fillId="2" borderId="2" xfId="0" applyNumberFormat="1" applyFont="1" applyFill="1" applyBorder="1" applyAlignment="1">
      <alignment horizontal="left" vertical="center"/>
    </xf>
    <xf numFmtId="165" fontId="2" fillId="2" borderId="2" xfId="0" applyNumberFormat="1"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left"/>
    </xf>
    <xf numFmtId="0" fontId="4" fillId="2" borderId="3" xfId="0" applyFont="1" applyFill="1" applyBorder="1" applyAlignment="1">
      <alignment horizontal="left"/>
    </xf>
    <xf numFmtId="0" fontId="4" fillId="2" borderId="3" xfId="0" applyFont="1" applyFill="1" applyBorder="1" applyAlignment="1">
      <alignment horizontal="left" vertical="center"/>
    </xf>
    <xf numFmtId="49" fontId="4" fillId="2" borderId="3" xfId="0" applyNumberFormat="1" applyFont="1" applyFill="1" applyBorder="1" applyAlignment="1">
      <alignment horizontal="left"/>
    </xf>
    <xf numFmtId="165" fontId="4" fillId="2" borderId="3" xfId="0" applyNumberFormat="1" applyFont="1" applyFill="1" applyBorder="1" applyAlignment="1">
      <alignment horizontal="right"/>
    </xf>
    <xf numFmtId="0" fontId="7" fillId="0" borderId="0" xfId="2"/>
    <xf numFmtId="0" fontId="7" fillId="0" borderId="0" xfId="3"/>
    <xf numFmtId="0" fontId="8" fillId="0" borderId="0" xfId="2" applyFont="1" applyAlignment="1">
      <alignment horizontal="left"/>
    </xf>
    <xf numFmtId="0" fontId="8" fillId="0" borderId="0" xfId="2" applyFont="1" applyAlignment="1">
      <alignment horizontal="left" vertical="center"/>
    </xf>
    <xf numFmtId="0" fontId="1" fillId="0" borderId="0" xfId="4"/>
    <xf numFmtId="0" fontId="9" fillId="0" borderId="0" xfId="5" applyAlignment="1">
      <alignment horizontal="left"/>
    </xf>
    <xf numFmtId="0" fontId="7" fillId="0" borderId="0" xfId="3" applyAlignment="1">
      <alignment vertical="center"/>
    </xf>
    <xf numFmtId="0" fontId="11" fillId="5" borderId="5" xfId="3" applyFont="1" applyFill="1" applyBorder="1" applyAlignment="1" applyProtection="1">
      <alignment horizontal="center" vertical="center" wrapText="1"/>
      <protection locked="0"/>
    </xf>
    <xf numFmtId="0" fontId="11" fillId="5" borderId="6" xfId="3" applyFont="1" applyFill="1" applyBorder="1" applyAlignment="1" applyProtection="1">
      <alignment horizontal="center" vertical="center" wrapText="1"/>
      <protection locked="0"/>
    </xf>
    <xf numFmtId="0" fontId="11" fillId="6" borderId="7" xfId="3" applyFont="1" applyFill="1" applyBorder="1" applyAlignment="1" applyProtection="1">
      <alignment horizontal="center" vertical="center" wrapText="1"/>
      <protection locked="0"/>
    </xf>
    <xf numFmtId="166" fontId="11" fillId="7" borderId="8" xfId="3" applyNumberFormat="1" applyFont="1" applyFill="1" applyBorder="1" applyAlignment="1" applyProtection="1">
      <alignment horizontal="center" vertical="center" wrapText="1"/>
      <protection locked="0"/>
    </xf>
    <xf numFmtId="166" fontId="11" fillId="7" borderId="9" xfId="3" applyNumberFormat="1" applyFont="1" applyFill="1" applyBorder="1" applyAlignment="1" applyProtection="1">
      <alignment horizontal="center" vertical="center"/>
      <protection locked="0"/>
    </xf>
    <xf numFmtId="49" fontId="11" fillId="7" borderId="9" xfId="3" applyNumberFormat="1" applyFont="1" applyFill="1" applyBorder="1" applyAlignment="1" applyProtection="1">
      <alignment horizontal="center" vertical="center"/>
      <protection locked="0"/>
    </xf>
    <xf numFmtId="166" fontId="11" fillId="7" borderId="9" xfId="6" applyNumberFormat="1" applyFont="1" applyFill="1" applyBorder="1" applyAlignment="1" applyProtection="1">
      <alignment horizontal="center" vertical="center"/>
      <protection locked="0"/>
    </xf>
    <xf numFmtId="166" fontId="11" fillId="7" borderId="10" xfId="6" applyNumberFormat="1" applyFont="1" applyFill="1" applyBorder="1" applyAlignment="1" applyProtection="1">
      <alignment horizontal="center" vertical="center"/>
      <protection locked="0"/>
    </xf>
    <xf numFmtId="0" fontId="11" fillId="5" borderId="11" xfId="3" applyFont="1" applyFill="1" applyBorder="1" applyAlignment="1" applyProtection="1">
      <alignment horizontal="center" vertical="center" wrapText="1"/>
      <protection locked="0"/>
    </xf>
    <xf numFmtId="0" fontId="11" fillId="5" borderId="12" xfId="3" applyFont="1" applyFill="1" applyBorder="1" applyAlignment="1" applyProtection="1">
      <alignment horizontal="center" vertical="center" wrapText="1"/>
      <protection locked="0"/>
    </xf>
    <xf numFmtId="166" fontId="11" fillId="5" borderId="13" xfId="3" applyNumberFormat="1" applyFont="1" applyFill="1" applyBorder="1" applyAlignment="1" applyProtection="1">
      <alignment horizontal="center" vertical="center" wrapText="1"/>
      <protection locked="0"/>
    </xf>
    <xf numFmtId="166" fontId="11" fillId="6" borderId="14" xfId="3" applyNumberFormat="1" applyFont="1" applyFill="1" applyBorder="1" applyAlignment="1" applyProtection="1">
      <alignment horizontal="center" vertical="center" wrapText="1"/>
      <protection locked="0"/>
    </xf>
    <xf numFmtId="0" fontId="13" fillId="0" borderId="0" xfId="7" applyFont="1"/>
    <xf numFmtId="0" fontId="6" fillId="0" borderId="0" xfId="7"/>
    <xf numFmtId="10" fontId="6" fillId="0" borderId="0" xfId="8" applyNumberFormat="1" applyFont="1"/>
    <xf numFmtId="0" fontId="11" fillId="5" borderId="7" xfId="3" applyFont="1" applyFill="1" applyBorder="1" applyAlignment="1" applyProtection="1">
      <alignment horizontal="center" vertical="center" wrapText="1"/>
      <protection locked="0"/>
    </xf>
    <xf numFmtId="1" fontId="11" fillId="7" borderId="9" xfId="3" applyNumberFormat="1" applyFont="1" applyFill="1" applyBorder="1" applyAlignment="1" applyProtection="1">
      <alignment horizontal="center" vertical="center"/>
      <protection locked="0"/>
    </xf>
    <xf numFmtId="9" fontId="11" fillId="7" borderId="9" xfId="1" applyFont="1" applyFill="1" applyBorder="1" applyAlignment="1" applyProtection="1">
      <alignment horizontal="center" vertical="center"/>
      <protection locked="0"/>
    </xf>
    <xf numFmtId="44" fontId="11" fillId="7" borderId="10" xfId="6" applyFont="1" applyFill="1" applyBorder="1" applyAlignment="1" applyProtection="1">
      <alignment horizontal="center" vertical="center"/>
      <protection locked="0"/>
    </xf>
    <xf numFmtId="43" fontId="6" fillId="0" borderId="0" xfId="9" applyFill="1"/>
    <xf numFmtId="43" fontId="6" fillId="0" borderId="0" xfId="7" applyNumberFormat="1"/>
    <xf numFmtId="0" fontId="11" fillId="5" borderId="15" xfId="3" applyFont="1" applyFill="1" applyBorder="1" applyAlignment="1" applyProtection="1">
      <alignment horizontal="center" vertical="center" wrapText="1"/>
      <protection locked="0"/>
    </xf>
    <xf numFmtId="0" fontId="11" fillId="5" borderId="16" xfId="3" applyFont="1" applyFill="1" applyBorder="1" applyAlignment="1" applyProtection="1">
      <alignment horizontal="center" vertical="center" wrapText="1"/>
      <protection locked="0"/>
    </xf>
    <xf numFmtId="166" fontId="11" fillId="5" borderId="16" xfId="3" applyNumberFormat="1" applyFont="1" applyFill="1" applyBorder="1" applyAlignment="1" applyProtection="1">
      <alignment horizontal="center" vertical="center" wrapText="1"/>
      <protection locked="0"/>
    </xf>
    <xf numFmtId="44" fontId="11" fillId="5" borderId="17" xfId="3" applyNumberFormat="1" applyFont="1" applyFill="1" applyBorder="1" applyAlignment="1" applyProtection="1">
      <alignment horizontal="center" vertical="center" wrapText="1"/>
      <protection locked="0"/>
    </xf>
    <xf numFmtId="4" fontId="14" fillId="0" borderId="0" xfId="7" applyNumberFormat="1" applyFont="1"/>
    <xf numFmtId="4" fontId="6" fillId="0" borderId="0" xfId="7" applyNumberFormat="1"/>
    <xf numFmtId="8" fontId="6" fillId="0" borderId="0" xfId="7" applyNumberFormat="1"/>
    <xf numFmtId="166" fontId="6" fillId="0" borderId="0" xfId="7" applyNumberFormat="1"/>
    <xf numFmtId="8" fontId="7" fillId="0" borderId="0" xfId="3" applyNumberFormat="1"/>
    <xf numFmtId="10" fontId="7" fillId="0" borderId="0" xfId="3" applyNumberFormat="1"/>
    <xf numFmtId="0" fontId="18" fillId="0" borderId="0" xfId="3" applyFont="1"/>
    <xf numFmtId="166" fontId="11" fillId="7" borderId="18" xfId="3" applyNumberFormat="1" applyFont="1" applyFill="1" applyBorder="1" applyAlignment="1" applyProtection="1">
      <alignment horizontal="center" vertical="center" wrapText="1"/>
      <protection locked="0"/>
    </xf>
    <xf numFmtId="1" fontId="11" fillId="7" borderId="19" xfId="3" applyNumberFormat="1" applyFont="1" applyFill="1" applyBorder="1" applyAlignment="1" applyProtection="1">
      <alignment horizontal="center" vertical="center"/>
      <protection locked="0"/>
    </xf>
    <xf numFmtId="0" fontId="15" fillId="0" borderId="0" xfId="3" applyFont="1" applyAlignment="1">
      <alignment horizontal="left" vertical="center" wrapText="1"/>
    </xf>
    <xf numFmtId="166" fontId="10" fillId="0" borderId="0" xfId="3" applyNumberFormat="1" applyFont="1" applyAlignment="1">
      <alignment horizontal="center" vertical="center"/>
    </xf>
    <xf numFmtId="0" fontId="10" fillId="0" borderId="0" xfId="3" applyFont="1" applyAlignment="1">
      <alignment horizontal="center" vertical="center"/>
    </xf>
    <xf numFmtId="0" fontId="11" fillId="0" borderId="0" xfId="3" applyFont="1" applyAlignment="1">
      <alignment horizontal="center" vertical="center"/>
    </xf>
    <xf numFmtId="0" fontId="12" fillId="0" borderId="0" xfId="3" applyFont="1" applyAlignment="1">
      <alignment horizontal="center" vertical="center" wrapText="1"/>
    </xf>
    <xf numFmtId="49" fontId="5" fillId="2" borderId="4" xfId="0" applyNumberFormat="1" applyFont="1" applyFill="1" applyBorder="1" applyAlignment="1">
      <alignment horizontal="left" vertical="center"/>
    </xf>
  </cellXfs>
  <cellStyles count="10">
    <cellStyle name="Comma 2" xfId="9" xr:uid="{59E9C0BA-E1D5-4C54-8806-E43032D5F645}"/>
    <cellStyle name="Currency 2" xfId="6" xr:uid="{BDFE7949-5B30-4837-A7CC-D17DB9369AAD}"/>
    <cellStyle name="Hyperlink 2" xfId="5" xr:uid="{FAE53922-0C40-4C7A-A569-2D44102AF38A}"/>
    <cellStyle name="Normal" xfId="0" builtinId="0"/>
    <cellStyle name="Normal 2 2" xfId="2" xr:uid="{8694C618-C881-4C75-A09E-403B30425101}"/>
    <cellStyle name="Normal 2 2 2" xfId="3" xr:uid="{DBEA7203-4C7A-4D6C-957F-883BC9B63164}"/>
    <cellStyle name="Normal 3" xfId="4" xr:uid="{DED36715-CF0C-4FFC-88DB-1707F52CF0D6}"/>
    <cellStyle name="Normal 4" xfId="7" xr:uid="{70716771-39DF-4878-92B2-DCF848D3B258}"/>
    <cellStyle name="Percent" xfId="1" builtinId="5"/>
    <cellStyle name="Percent 2" xfId="8" xr:uid="{6EE62FF1-91F7-4A27-BDF7-A7BDE18B6E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2104864</xdr:colOff>
      <xdr:row>3</xdr:row>
      <xdr:rowOff>15875</xdr:rowOff>
    </xdr:to>
    <xdr:pic>
      <xdr:nvPicPr>
        <xdr:cNvPr id="2" name="Picture 1">
          <a:extLst>
            <a:ext uri="{FF2B5EF4-FFF2-40B4-BE49-F238E27FC236}">
              <a16:creationId xmlns:a16="http://schemas.microsoft.com/office/drawing/2014/main" id="{50F6562E-CE5B-4941-8D12-F97CEE09FFE1}"/>
            </a:ext>
          </a:extLst>
        </xdr:cNvPr>
        <xdr:cNvPicPr>
          <a:picLocks noChangeAspect="1"/>
        </xdr:cNvPicPr>
      </xdr:nvPicPr>
      <xdr:blipFill>
        <a:blip xmlns:r="http://schemas.openxmlformats.org/officeDocument/2006/relationships" r:embed="rId1"/>
        <a:stretch>
          <a:fillRect/>
        </a:stretch>
      </xdr:blipFill>
      <xdr:spPr>
        <a:xfrm>
          <a:off x="0" y="1"/>
          <a:ext cx="2108039" cy="5016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medtro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3646-358F-4F84-9F95-85410165B942}">
  <sheetPr>
    <pageSetUpPr fitToPage="1"/>
  </sheetPr>
  <dimension ref="A1:J175"/>
  <sheetViews>
    <sheetView tabSelected="1" topLeftCell="A13" zoomScaleNormal="100" workbookViewId="0">
      <selection activeCell="F22" sqref="F22"/>
    </sheetView>
  </sheetViews>
  <sheetFormatPr defaultRowHeight="13.2" x14ac:dyDescent="0.25"/>
  <cols>
    <col min="1" max="1" width="55.77734375" style="20" customWidth="1"/>
    <col min="2" max="2" width="29.44140625" style="20" bestFit="1" customWidth="1"/>
    <col min="3" max="3" width="18.44140625" style="20" customWidth="1"/>
    <col min="4" max="5" width="19.77734375" style="20" customWidth="1"/>
    <col min="6" max="6" width="11.21875" style="20" bestFit="1" customWidth="1"/>
    <col min="7" max="7" width="12.21875" style="20" bestFit="1" customWidth="1"/>
    <col min="8" max="8" width="19.77734375" style="20" bestFit="1" customWidth="1"/>
    <col min="9" max="9" width="14.77734375" style="20" customWidth="1"/>
    <col min="10" max="10" width="17.44140625" style="20" customWidth="1"/>
    <col min="11" max="254" width="8.77734375" style="20"/>
    <col min="255" max="255" width="49" style="20" customWidth="1"/>
    <col min="256" max="259" width="19.77734375" style="20" customWidth="1"/>
    <col min="260" max="260" width="16.44140625" style="20" customWidth="1"/>
    <col min="261" max="261" width="15.44140625" style="20" customWidth="1"/>
    <col min="262" max="510" width="8.77734375" style="20"/>
    <col min="511" max="511" width="49" style="20" customWidth="1"/>
    <col min="512" max="515" width="19.77734375" style="20" customWidth="1"/>
    <col min="516" max="516" width="16.44140625" style="20" customWidth="1"/>
    <col min="517" max="517" width="15.44140625" style="20" customWidth="1"/>
    <col min="518" max="766" width="8.77734375" style="20"/>
    <col min="767" max="767" width="49" style="20" customWidth="1"/>
    <col min="768" max="771" width="19.77734375" style="20" customWidth="1"/>
    <col min="772" max="772" width="16.44140625" style="20" customWidth="1"/>
    <col min="773" max="773" width="15.44140625" style="20" customWidth="1"/>
    <col min="774" max="1022" width="8.77734375" style="20"/>
    <col min="1023" max="1023" width="49" style="20" customWidth="1"/>
    <col min="1024" max="1027" width="19.77734375" style="20" customWidth="1"/>
    <col min="1028" max="1028" width="16.44140625" style="20" customWidth="1"/>
    <col min="1029" max="1029" width="15.44140625" style="20" customWidth="1"/>
    <col min="1030" max="1278" width="8.77734375" style="20"/>
    <col min="1279" max="1279" width="49" style="20" customWidth="1"/>
    <col min="1280" max="1283" width="19.77734375" style="20" customWidth="1"/>
    <col min="1284" max="1284" width="16.44140625" style="20" customWidth="1"/>
    <col min="1285" max="1285" width="15.44140625" style="20" customWidth="1"/>
    <col min="1286" max="1534" width="8.77734375" style="20"/>
    <col min="1535" max="1535" width="49" style="20" customWidth="1"/>
    <col min="1536" max="1539" width="19.77734375" style="20" customWidth="1"/>
    <col min="1540" max="1540" width="16.44140625" style="20" customWidth="1"/>
    <col min="1541" max="1541" width="15.44140625" style="20" customWidth="1"/>
    <col min="1542" max="1790" width="8.77734375" style="20"/>
    <col min="1791" max="1791" width="49" style="20" customWidth="1"/>
    <col min="1792" max="1795" width="19.77734375" style="20" customWidth="1"/>
    <col min="1796" max="1796" width="16.44140625" style="20" customWidth="1"/>
    <col min="1797" max="1797" width="15.44140625" style="20" customWidth="1"/>
    <col min="1798" max="2046" width="8.77734375" style="20"/>
    <col min="2047" max="2047" width="49" style="20" customWidth="1"/>
    <col min="2048" max="2051" width="19.77734375" style="20" customWidth="1"/>
    <col min="2052" max="2052" width="16.44140625" style="20" customWidth="1"/>
    <col min="2053" max="2053" width="15.44140625" style="20" customWidth="1"/>
    <col min="2054" max="2302" width="8.77734375" style="20"/>
    <col min="2303" max="2303" width="49" style="20" customWidth="1"/>
    <col min="2304" max="2307" width="19.77734375" style="20" customWidth="1"/>
    <col min="2308" max="2308" width="16.44140625" style="20" customWidth="1"/>
    <col min="2309" max="2309" width="15.44140625" style="20" customWidth="1"/>
    <col min="2310" max="2558" width="8.77734375" style="20"/>
    <col min="2559" max="2559" width="49" style="20" customWidth="1"/>
    <col min="2560" max="2563" width="19.77734375" style="20" customWidth="1"/>
    <col min="2564" max="2564" width="16.44140625" style="20" customWidth="1"/>
    <col min="2565" max="2565" width="15.44140625" style="20" customWidth="1"/>
    <col min="2566" max="2814" width="8.77734375" style="20"/>
    <col min="2815" max="2815" width="49" style="20" customWidth="1"/>
    <col min="2816" max="2819" width="19.77734375" style="20" customWidth="1"/>
    <col min="2820" max="2820" width="16.44140625" style="20" customWidth="1"/>
    <col min="2821" max="2821" width="15.44140625" style="20" customWidth="1"/>
    <col min="2822" max="3070" width="8.77734375" style="20"/>
    <col min="3071" max="3071" width="49" style="20" customWidth="1"/>
    <col min="3072" max="3075" width="19.77734375" style="20" customWidth="1"/>
    <col min="3076" max="3076" width="16.44140625" style="20" customWidth="1"/>
    <col min="3077" max="3077" width="15.44140625" style="20" customWidth="1"/>
    <col min="3078" max="3326" width="8.77734375" style="20"/>
    <col min="3327" max="3327" width="49" style="20" customWidth="1"/>
    <col min="3328" max="3331" width="19.77734375" style="20" customWidth="1"/>
    <col min="3332" max="3332" width="16.44140625" style="20" customWidth="1"/>
    <col min="3333" max="3333" width="15.44140625" style="20" customWidth="1"/>
    <col min="3334" max="3582" width="8.77734375" style="20"/>
    <col min="3583" max="3583" width="49" style="20" customWidth="1"/>
    <col min="3584" max="3587" width="19.77734375" style="20" customWidth="1"/>
    <col min="3588" max="3588" width="16.44140625" style="20" customWidth="1"/>
    <col min="3589" max="3589" width="15.44140625" style="20" customWidth="1"/>
    <col min="3590" max="3838" width="8.77734375" style="20"/>
    <col min="3839" max="3839" width="49" style="20" customWidth="1"/>
    <col min="3840" max="3843" width="19.77734375" style="20" customWidth="1"/>
    <col min="3844" max="3844" width="16.44140625" style="20" customWidth="1"/>
    <col min="3845" max="3845" width="15.44140625" style="20" customWidth="1"/>
    <col min="3846" max="4094" width="8.77734375" style="20"/>
    <col min="4095" max="4095" width="49" style="20" customWidth="1"/>
    <col min="4096" max="4099" width="19.77734375" style="20" customWidth="1"/>
    <col min="4100" max="4100" width="16.44140625" style="20" customWidth="1"/>
    <col min="4101" max="4101" width="15.44140625" style="20" customWidth="1"/>
    <col min="4102" max="4350" width="8.77734375" style="20"/>
    <col min="4351" max="4351" width="49" style="20" customWidth="1"/>
    <col min="4352" max="4355" width="19.77734375" style="20" customWidth="1"/>
    <col min="4356" max="4356" width="16.44140625" style="20" customWidth="1"/>
    <col min="4357" max="4357" width="15.44140625" style="20" customWidth="1"/>
    <col min="4358" max="4606" width="8.77734375" style="20"/>
    <col min="4607" max="4607" width="49" style="20" customWidth="1"/>
    <col min="4608" max="4611" width="19.77734375" style="20" customWidth="1"/>
    <col min="4612" max="4612" width="16.44140625" style="20" customWidth="1"/>
    <col min="4613" max="4613" width="15.44140625" style="20" customWidth="1"/>
    <col min="4614" max="4862" width="8.77734375" style="20"/>
    <col min="4863" max="4863" width="49" style="20" customWidth="1"/>
    <col min="4864" max="4867" width="19.77734375" style="20" customWidth="1"/>
    <col min="4868" max="4868" width="16.44140625" style="20" customWidth="1"/>
    <col min="4869" max="4869" width="15.44140625" style="20" customWidth="1"/>
    <col min="4870" max="5118" width="8.77734375" style="20"/>
    <col min="5119" max="5119" width="49" style="20" customWidth="1"/>
    <col min="5120" max="5123" width="19.77734375" style="20" customWidth="1"/>
    <col min="5124" max="5124" width="16.44140625" style="20" customWidth="1"/>
    <col min="5125" max="5125" width="15.44140625" style="20" customWidth="1"/>
    <col min="5126" max="5374" width="8.77734375" style="20"/>
    <col min="5375" max="5375" width="49" style="20" customWidth="1"/>
    <col min="5376" max="5379" width="19.77734375" style="20" customWidth="1"/>
    <col min="5380" max="5380" width="16.44140625" style="20" customWidth="1"/>
    <col min="5381" max="5381" width="15.44140625" style="20" customWidth="1"/>
    <col min="5382" max="5630" width="8.77734375" style="20"/>
    <col min="5631" max="5631" width="49" style="20" customWidth="1"/>
    <col min="5632" max="5635" width="19.77734375" style="20" customWidth="1"/>
    <col min="5636" max="5636" width="16.44140625" style="20" customWidth="1"/>
    <col min="5637" max="5637" width="15.44140625" style="20" customWidth="1"/>
    <col min="5638" max="5886" width="8.77734375" style="20"/>
    <col min="5887" max="5887" width="49" style="20" customWidth="1"/>
    <col min="5888" max="5891" width="19.77734375" style="20" customWidth="1"/>
    <col min="5892" max="5892" width="16.44140625" style="20" customWidth="1"/>
    <col min="5893" max="5893" width="15.44140625" style="20" customWidth="1"/>
    <col min="5894" max="6142" width="8.77734375" style="20"/>
    <col min="6143" max="6143" width="49" style="20" customWidth="1"/>
    <col min="6144" max="6147" width="19.77734375" style="20" customWidth="1"/>
    <col min="6148" max="6148" width="16.44140625" style="20" customWidth="1"/>
    <col min="6149" max="6149" width="15.44140625" style="20" customWidth="1"/>
    <col min="6150" max="6398" width="8.77734375" style="20"/>
    <col min="6399" max="6399" width="49" style="20" customWidth="1"/>
    <col min="6400" max="6403" width="19.77734375" style="20" customWidth="1"/>
    <col min="6404" max="6404" width="16.44140625" style="20" customWidth="1"/>
    <col min="6405" max="6405" width="15.44140625" style="20" customWidth="1"/>
    <col min="6406" max="6654" width="8.77734375" style="20"/>
    <col min="6655" max="6655" width="49" style="20" customWidth="1"/>
    <col min="6656" max="6659" width="19.77734375" style="20" customWidth="1"/>
    <col min="6660" max="6660" width="16.44140625" style="20" customWidth="1"/>
    <col min="6661" max="6661" width="15.44140625" style="20" customWidth="1"/>
    <col min="6662" max="6910" width="8.77734375" style="20"/>
    <col min="6911" max="6911" width="49" style="20" customWidth="1"/>
    <col min="6912" max="6915" width="19.77734375" style="20" customWidth="1"/>
    <col min="6916" max="6916" width="16.44140625" style="20" customWidth="1"/>
    <col min="6917" max="6917" width="15.44140625" style="20" customWidth="1"/>
    <col min="6918" max="7166" width="8.77734375" style="20"/>
    <col min="7167" max="7167" width="49" style="20" customWidth="1"/>
    <col min="7168" max="7171" width="19.77734375" style="20" customWidth="1"/>
    <col min="7172" max="7172" width="16.44140625" style="20" customWidth="1"/>
    <col min="7173" max="7173" width="15.44140625" style="20" customWidth="1"/>
    <col min="7174" max="7422" width="8.77734375" style="20"/>
    <col min="7423" max="7423" width="49" style="20" customWidth="1"/>
    <col min="7424" max="7427" width="19.77734375" style="20" customWidth="1"/>
    <col min="7428" max="7428" width="16.44140625" style="20" customWidth="1"/>
    <col min="7429" max="7429" width="15.44140625" style="20" customWidth="1"/>
    <col min="7430" max="7678" width="8.77734375" style="20"/>
    <col min="7679" max="7679" width="49" style="20" customWidth="1"/>
    <col min="7680" max="7683" width="19.77734375" style="20" customWidth="1"/>
    <col min="7684" max="7684" width="16.44140625" style="20" customWidth="1"/>
    <col min="7685" max="7685" width="15.44140625" style="20" customWidth="1"/>
    <col min="7686" max="7934" width="8.77734375" style="20"/>
    <col min="7935" max="7935" width="49" style="20" customWidth="1"/>
    <col min="7936" max="7939" width="19.77734375" style="20" customWidth="1"/>
    <col min="7940" max="7940" width="16.44140625" style="20" customWidth="1"/>
    <col min="7941" max="7941" width="15.44140625" style="20" customWidth="1"/>
    <col min="7942" max="8190" width="8.77734375" style="20"/>
    <col min="8191" max="8191" width="49" style="20" customWidth="1"/>
    <col min="8192" max="8195" width="19.77734375" style="20" customWidth="1"/>
    <col min="8196" max="8196" width="16.44140625" style="20" customWidth="1"/>
    <col min="8197" max="8197" width="15.44140625" style="20" customWidth="1"/>
    <col min="8198" max="8446" width="8.77734375" style="20"/>
    <col min="8447" max="8447" width="49" style="20" customWidth="1"/>
    <col min="8448" max="8451" width="19.77734375" style="20" customWidth="1"/>
    <col min="8452" max="8452" width="16.44140625" style="20" customWidth="1"/>
    <col min="8453" max="8453" width="15.44140625" style="20" customWidth="1"/>
    <col min="8454" max="8702" width="8.77734375" style="20"/>
    <col min="8703" max="8703" width="49" style="20" customWidth="1"/>
    <col min="8704" max="8707" width="19.77734375" style="20" customWidth="1"/>
    <col min="8708" max="8708" width="16.44140625" style="20" customWidth="1"/>
    <col min="8709" max="8709" width="15.44140625" style="20" customWidth="1"/>
    <col min="8710" max="8958" width="8.77734375" style="20"/>
    <col min="8959" max="8959" width="49" style="20" customWidth="1"/>
    <col min="8960" max="8963" width="19.77734375" style="20" customWidth="1"/>
    <col min="8964" max="8964" width="16.44140625" style="20" customWidth="1"/>
    <col min="8965" max="8965" width="15.44140625" style="20" customWidth="1"/>
    <col min="8966" max="9214" width="8.77734375" style="20"/>
    <col min="9215" max="9215" width="49" style="20" customWidth="1"/>
    <col min="9216" max="9219" width="19.77734375" style="20" customWidth="1"/>
    <col min="9220" max="9220" width="16.44140625" style="20" customWidth="1"/>
    <col min="9221" max="9221" width="15.44140625" style="20" customWidth="1"/>
    <col min="9222" max="9470" width="8.77734375" style="20"/>
    <col min="9471" max="9471" width="49" style="20" customWidth="1"/>
    <col min="9472" max="9475" width="19.77734375" style="20" customWidth="1"/>
    <col min="9476" max="9476" width="16.44140625" style="20" customWidth="1"/>
    <col min="9477" max="9477" width="15.44140625" style="20" customWidth="1"/>
    <col min="9478" max="9726" width="8.77734375" style="20"/>
    <col min="9727" max="9727" width="49" style="20" customWidth="1"/>
    <col min="9728" max="9731" width="19.77734375" style="20" customWidth="1"/>
    <col min="9732" max="9732" width="16.44140625" style="20" customWidth="1"/>
    <col min="9733" max="9733" width="15.44140625" style="20" customWidth="1"/>
    <col min="9734" max="9982" width="8.77734375" style="20"/>
    <col min="9983" max="9983" width="49" style="20" customWidth="1"/>
    <col min="9984" max="9987" width="19.77734375" style="20" customWidth="1"/>
    <col min="9988" max="9988" width="16.44140625" style="20" customWidth="1"/>
    <col min="9989" max="9989" width="15.44140625" style="20" customWidth="1"/>
    <col min="9990" max="10238" width="8.77734375" style="20"/>
    <col min="10239" max="10239" width="49" style="20" customWidth="1"/>
    <col min="10240" max="10243" width="19.77734375" style="20" customWidth="1"/>
    <col min="10244" max="10244" width="16.44140625" style="20" customWidth="1"/>
    <col min="10245" max="10245" width="15.44140625" style="20" customWidth="1"/>
    <col min="10246" max="10494" width="8.77734375" style="20"/>
    <col min="10495" max="10495" width="49" style="20" customWidth="1"/>
    <col min="10496" max="10499" width="19.77734375" style="20" customWidth="1"/>
    <col min="10500" max="10500" width="16.44140625" style="20" customWidth="1"/>
    <col min="10501" max="10501" width="15.44140625" style="20" customWidth="1"/>
    <col min="10502" max="10750" width="8.77734375" style="20"/>
    <col min="10751" max="10751" width="49" style="20" customWidth="1"/>
    <col min="10752" max="10755" width="19.77734375" style="20" customWidth="1"/>
    <col min="10756" max="10756" width="16.44140625" style="20" customWidth="1"/>
    <col min="10757" max="10757" width="15.44140625" style="20" customWidth="1"/>
    <col min="10758" max="11006" width="8.77734375" style="20"/>
    <col min="11007" max="11007" width="49" style="20" customWidth="1"/>
    <col min="11008" max="11011" width="19.77734375" style="20" customWidth="1"/>
    <col min="11012" max="11012" width="16.44140625" style="20" customWidth="1"/>
    <col min="11013" max="11013" width="15.44140625" style="20" customWidth="1"/>
    <col min="11014" max="11262" width="8.77734375" style="20"/>
    <col min="11263" max="11263" width="49" style="20" customWidth="1"/>
    <col min="11264" max="11267" width="19.77734375" style="20" customWidth="1"/>
    <col min="11268" max="11268" width="16.44140625" style="20" customWidth="1"/>
    <col min="11269" max="11269" width="15.44140625" style="20" customWidth="1"/>
    <col min="11270" max="11518" width="8.77734375" style="20"/>
    <col min="11519" max="11519" width="49" style="20" customWidth="1"/>
    <col min="11520" max="11523" width="19.77734375" style="20" customWidth="1"/>
    <col min="11524" max="11524" width="16.44140625" style="20" customWidth="1"/>
    <col min="11525" max="11525" width="15.44140625" style="20" customWidth="1"/>
    <col min="11526" max="11774" width="8.77734375" style="20"/>
    <col min="11775" max="11775" width="49" style="20" customWidth="1"/>
    <col min="11776" max="11779" width="19.77734375" style="20" customWidth="1"/>
    <col min="11780" max="11780" width="16.44140625" style="20" customWidth="1"/>
    <col min="11781" max="11781" width="15.44140625" style="20" customWidth="1"/>
    <col min="11782" max="12030" width="8.77734375" style="20"/>
    <col min="12031" max="12031" width="49" style="20" customWidth="1"/>
    <col min="12032" max="12035" width="19.77734375" style="20" customWidth="1"/>
    <col min="12036" max="12036" width="16.44140625" style="20" customWidth="1"/>
    <col min="12037" max="12037" width="15.44140625" style="20" customWidth="1"/>
    <col min="12038" max="12286" width="8.77734375" style="20"/>
    <col min="12287" max="12287" width="49" style="20" customWidth="1"/>
    <col min="12288" max="12291" width="19.77734375" style="20" customWidth="1"/>
    <col min="12292" max="12292" width="16.44140625" style="20" customWidth="1"/>
    <col min="12293" max="12293" width="15.44140625" style="20" customWidth="1"/>
    <col min="12294" max="12542" width="8.77734375" style="20"/>
    <col min="12543" max="12543" width="49" style="20" customWidth="1"/>
    <col min="12544" max="12547" width="19.77734375" style="20" customWidth="1"/>
    <col min="12548" max="12548" width="16.44140625" style="20" customWidth="1"/>
    <col min="12549" max="12549" width="15.44140625" style="20" customWidth="1"/>
    <col min="12550" max="12798" width="8.77734375" style="20"/>
    <col min="12799" max="12799" width="49" style="20" customWidth="1"/>
    <col min="12800" max="12803" width="19.77734375" style="20" customWidth="1"/>
    <col min="12804" max="12804" width="16.44140625" style="20" customWidth="1"/>
    <col min="12805" max="12805" width="15.44140625" style="20" customWidth="1"/>
    <col min="12806" max="13054" width="8.77734375" style="20"/>
    <col min="13055" max="13055" width="49" style="20" customWidth="1"/>
    <col min="13056" max="13059" width="19.77734375" style="20" customWidth="1"/>
    <col min="13060" max="13060" width="16.44140625" style="20" customWidth="1"/>
    <col min="13061" max="13061" width="15.44140625" style="20" customWidth="1"/>
    <col min="13062" max="13310" width="8.77734375" style="20"/>
    <col min="13311" max="13311" width="49" style="20" customWidth="1"/>
    <col min="13312" max="13315" width="19.77734375" style="20" customWidth="1"/>
    <col min="13316" max="13316" width="16.44140625" style="20" customWidth="1"/>
    <col min="13317" max="13317" width="15.44140625" style="20" customWidth="1"/>
    <col min="13318" max="13566" width="8.77734375" style="20"/>
    <col min="13567" max="13567" width="49" style="20" customWidth="1"/>
    <col min="13568" max="13571" width="19.77734375" style="20" customWidth="1"/>
    <col min="13572" max="13572" width="16.44140625" style="20" customWidth="1"/>
    <col min="13573" max="13573" width="15.44140625" style="20" customWidth="1"/>
    <col min="13574" max="13822" width="8.77734375" style="20"/>
    <col min="13823" max="13823" width="49" style="20" customWidth="1"/>
    <col min="13824" max="13827" width="19.77734375" style="20" customWidth="1"/>
    <col min="13828" max="13828" width="16.44140625" style="20" customWidth="1"/>
    <col min="13829" max="13829" width="15.44140625" style="20" customWidth="1"/>
    <col min="13830" max="14078" width="8.77734375" style="20"/>
    <col min="14079" max="14079" width="49" style="20" customWidth="1"/>
    <col min="14080" max="14083" width="19.77734375" style="20" customWidth="1"/>
    <col min="14084" max="14084" width="16.44140625" style="20" customWidth="1"/>
    <col min="14085" max="14085" width="15.44140625" style="20" customWidth="1"/>
    <col min="14086" max="14334" width="8.77734375" style="20"/>
    <col min="14335" max="14335" width="49" style="20" customWidth="1"/>
    <col min="14336" max="14339" width="19.77734375" style="20" customWidth="1"/>
    <col min="14340" max="14340" width="16.44140625" style="20" customWidth="1"/>
    <col min="14341" max="14341" width="15.44140625" style="20" customWidth="1"/>
    <col min="14342" max="14590" width="8.77734375" style="20"/>
    <col min="14591" max="14591" width="49" style="20" customWidth="1"/>
    <col min="14592" max="14595" width="19.77734375" style="20" customWidth="1"/>
    <col min="14596" max="14596" width="16.44140625" style="20" customWidth="1"/>
    <col min="14597" max="14597" width="15.44140625" style="20" customWidth="1"/>
    <col min="14598" max="14846" width="8.77734375" style="20"/>
    <col min="14847" max="14847" width="49" style="20" customWidth="1"/>
    <col min="14848" max="14851" width="19.77734375" style="20" customWidth="1"/>
    <col min="14852" max="14852" width="16.44140625" style="20" customWidth="1"/>
    <col min="14853" max="14853" width="15.44140625" style="20" customWidth="1"/>
    <col min="14854" max="15102" width="8.77734375" style="20"/>
    <col min="15103" max="15103" width="49" style="20" customWidth="1"/>
    <col min="15104" max="15107" width="19.77734375" style="20" customWidth="1"/>
    <col min="15108" max="15108" width="16.44140625" style="20" customWidth="1"/>
    <col min="15109" max="15109" width="15.44140625" style="20" customWidth="1"/>
    <col min="15110" max="15358" width="8.77734375" style="20"/>
    <col min="15359" max="15359" width="49" style="20" customWidth="1"/>
    <col min="15360" max="15363" width="19.77734375" style="20" customWidth="1"/>
    <col min="15364" max="15364" width="16.44140625" style="20" customWidth="1"/>
    <col min="15365" max="15365" width="15.44140625" style="20" customWidth="1"/>
    <col min="15366" max="15614" width="8.77734375" style="20"/>
    <col min="15615" max="15615" width="49" style="20" customWidth="1"/>
    <col min="15616" max="15619" width="19.77734375" style="20" customWidth="1"/>
    <col min="15620" max="15620" width="16.44140625" style="20" customWidth="1"/>
    <col min="15621" max="15621" width="15.44140625" style="20" customWidth="1"/>
    <col min="15622" max="15870" width="8.77734375" style="20"/>
    <col min="15871" max="15871" width="49" style="20" customWidth="1"/>
    <col min="15872" max="15875" width="19.77734375" style="20" customWidth="1"/>
    <col min="15876" max="15876" width="16.44140625" style="20" customWidth="1"/>
    <col min="15877" max="15877" width="15.44140625" style="20" customWidth="1"/>
    <col min="15878" max="16126" width="8.77734375" style="20"/>
    <col min="16127" max="16127" width="49" style="20" customWidth="1"/>
    <col min="16128" max="16131" width="19.77734375" style="20" customWidth="1"/>
    <col min="16132" max="16132" width="16.44140625" style="20" customWidth="1"/>
    <col min="16133" max="16133" width="15.44140625" style="20" customWidth="1"/>
    <col min="16134" max="16384" width="8.77734375" style="20"/>
  </cols>
  <sheetData>
    <row r="1" spans="1:10" x14ac:dyDescent="0.25">
      <c r="A1" s="19" t="s">
        <v>106</v>
      </c>
    </row>
    <row r="2" spans="1:10" x14ac:dyDescent="0.25">
      <c r="A2" s="19"/>
    </row>
    <row r="3" spans="1:10" x14ac:dyDescent="0.25">
      <c r="A3" s="19"/>
    </row>
    <row r="4" spans="1:10" x14ac:dyDescent="0.25">
      <c r="A4" s="21" t="s">
        <v>107</v>
      </c>
    </row>
    <row r="5" spans="1:10" ht="14.4" x14ac:dyDescent="0.3">
      <c r="A5" s="22" t="s">
        <v>108</v>
      </c>
      <c r="I5" s="23"/>
      <c r="J5" s="23"/>
    </row>
    <row r="6" spans="1:10" ht="14.4" x14ac:dyDescent="0.3">
      <c r="A6" s="22" t="s">
        <v>109</v>
      </c>
      <c r="I6" s="23"/>
      <c r="J6" s="23"/>
    </row>
    <row r="7" spans="1:10" ht="14.4" x14ac:dyDescent="0.3">
      <c r="A7" s="22" t="s">
        <v>110</v>
      </c>
      <c r="I7" s="23"/>
      <c r="J7" s="23"/>
    </row>
    <row r="8" spans="1:10" ht="14.4" x14ac:dyDescent="0.3">
      <c r="A8" s="24" t="s">
        <v>111</v>
      </c>
      <c r="I8" s="23"/>
      <c r="J8" s="23"/>
    </row>
    <row r="9" spans="1:10" ht="18" customHeight="1" x14ac:dyDescent="0.3">
      <c r="A9" s="61" t="e">
        <f>A16</f>
        <v>#REF!</v>
      </c>
      <c r="B9" s="62"/>
      <c r="C9" s="62"/>
      <c r="D9" s="62"/>
      <c r="E9" s="62"/>
      <c r="I9" s="23"/>
      <c r="J9" s="23"/>
    </row>
    <row r="10" spans="1:10" ht="18" customHeight="1" x14ac:dyDescent="0.3">
      <c r="A10" s="63" t="s">
        <v>125</v>
      </c>
      <c r="B10" s="63"/>
      <c r="C10" s="63"/>
      <c r="D10" s="63"/>
      <c r="E10" s="63"/>
      <c r="I10" s="23"/>
      <c r="J10" s="23"/>
    </row>
    <row r="11" spans="1:10" ht="18" customHeight="1" x14ac:dyDescent="0.3">
      <c r="A11" s="63" t="s">
        <v>126</v>
      </c>
      <c r="B11" s="63"/>
      <c r="C11" s="63"/>
      <c r="D11" s="63"/>
      <c r="E11" s="63"/>
      <c r="I11" s="23"/>
      <c r="J11" s="23"/>
    </row>
    <row r="12" spans="1:10" ht="18" customHeight="1" x14ac:dyDescent="0.3">
      <c r="A12" s="63" t="s">
        <v>124</v>
      </c>
      <c r="B12" s="63"/>
      <c r="C12" s="63"/>
      <c r="D12" s="63"/>
      <c r="E12" s="63"/>
      <c r="I12" s="23"/>
      <c r="J12" s="23"/>
    </row>
    <row r="13" spans="1:10" ht="18" customHeight="1" x14ac:dyDescent="0.25">
      <c r="A13" s="63" t="s">
        <v>127</v>
      </c>
      <c r="B13" s="63"/>
      <c r="C13" s="63"/>
      <c r="D13" s="63"/>
      <c r="E13" s="63"/>
    </row>
    <row r="14" spans="1:10" s="25" customFormat="1" ht="38.25" customHeight="1" thickBot="1" x14ac:dyDescent="0.3">
      <c r="A14" s="64" t="str">
        <f>CONCATENATE("Rebate Program: Customer may earn a "," ",TEXT(E17,"$#,###.00")," ","Rebate if a Bulk Purchase of "," ",TEXT(D17,"$#,###.00")," ","is made by October 25, 2025."," ","Rebate is calculated and paid on Invoiced purchases net of all credits, returns, allowances and any other rebates paid on the purchases involved.")</f>
        <v>Rebate Program: Customer may earn a  $17,384.00 Rebate if a Bulk Purchase of  $375,680.00 is made by October 25, 2025. Rebate is calculated and paid on Invoiced purchases net of all credits, returns, allowances and any other rebates paid on the purchases involved.</v>
      </c>
      <c r="B14" s="64"/>
      <c r="C14" s="64"/>
      <c r="D14" s="64"/>
      <c r="E14" s="64"/>
    </row>
    <row r="15" spans="1:10" ht="40.5" customHeight="1" x14ac:dyDescent="0.25">
      <c r="A15" s="26" t="s">
        <v>112</v>
      </c>
      <c r="B15" s="27" t="s">
        <v>113</v>
      </c>
      <c r="C15" s="27" t="s">
        <v>114</v>
      </c>
      <c r="D15" s="27" t="s">
        <v>115</v>
      </c>
      <c r="E15" s="28" t="s">
        <v>116</v>
      </c>
    </row>
    <row r="16" spans="1:10" ht="18" customHeight="1" x14ac:dyDescent="0.25">
      <c r="A16" s="29" t="e">
        <f>#REF!</f>
        <v>#REF!</v>
      </c>
      <c r="B16" s="30" t="s">
        <v>48</v>
      </c>
      <c r="C16" s="31" t="s">
        <v>56</v>
      </c>
      <c r="D16" s="32">
        <v>375679.99999999994</v>
      </c>
      <c r="E16" s="33">
        <v>17384</v>
      </c>
    </row>
    <row r="17" spans="1:9" ht="18" customHeight="1" thickBot="1" x14ac:dyDescent="0.3">
      <c r="A17" s="34"/>
      <c r="B17" s="35"/>
      <c r="C17" s="35"/>
      <c r="D17" s="36">
        <f>SUM(D16:D16)</f>
        <v>375679.99999999994</v>
      </c>
      <c r="E17" s="37">
        <f>SUM(E16:E16)</f>
        <v>17384</v>
      </c>
    </row>
    <row r="18" spans="1:9" s="39" customFormat="1" ht="18" customHeight="1" thickBot="1" x14ac:dyDescent="0.3">
      <c r="A18" s="38"/>
      <c r="B18" s="38"/>
      <c r="C18" s="38"/>
      <c r="D18" s="38"/>
      <c r="E18" s="38"/>
      <c r="G18" s="40"/>
    </row>
    <row r="19" spans="1:9" s="39" customFormat="1" ht="13.8" x14ac:dyDescent="0.25">
      <c r="A19" s="26" t="s">
        <v>117</v>
      </c>
      <c r="B19" s="27" t="s">
        <v>118</v>
      </c>
      <c r="C19" s="27" t="s">
        <v>119</v>
      </c>
      <c r="D19" s="27" t="s">
        <v>120</v>
      </c>
      <c r="E19" s="41" t="s">
        <v>116</v>
      </c>
    </row>
    <row r="20" spans="1:9" s="39" customFormat="1" ht="46.95" customHeight="1" x14ac:dyDescent="0.25">
      <c r="A20" s="29" t="s">
        <v>121</v>
      </c>
      <c r="B20" s="42" t="s">
        <v>41</v>
      </c>
      <c r="C20" s="32">
        <v>284399.99999999994</v>
      </c>
      <c r="D20" s="43">
        <v>4.6273424190800688E-2</v>
      </c>
      <c r="E20" s="44">
        <v>13160.161839863713</v>
      </c>
      <c r="F20" s="45"/>
      <c r="G20" s="46"/>
    </row>
    <row r="21" spans="1:9" s="39" customFormat="1" ht="72" customHeight="1" x14ac:dyDescent="0.25">
      <c r="A21" s="58" t="s">
        <v>123</v>
      </c>
      <c r="B21" s="59" t="s">
        <v>88</v>
      </c>
      <c r="C21" s="32">
        <v>91280</v>
      </c>
      <c r="D21" s="43">
        <v>4.6273424190800688E-2</v>
      </c>
      <c r="E21" s="44">
        <v>4223.8381601362871</v>
      </c>
      <c r="F21" s="45"/>
      <c r="G21" s="46"/>
    </row>
    <row r="22" spans="1:9" s="39" customFormat="1" ht="18" customHeight="1" thickBot="1" x14ac:dyDescent="0.3">
      <c r="A22" s="47"/>
      <c r="B22" s="48"/>
      <c r="C22" s="49">
        <v>375679.99999999994</v>
      </c>
      <c r="D22" s="48"/>
      <c r="E22" s="50">
        <v>17384</v>
      </c>
      <c r="G22" s="51"/>
      <c r="H22" s="52"/>
      <c r="I22" s="53"/>
    </row>
    <row r="23" spans="1:9" s="39" customFormat="1" ht="18" customHeight="1" x14ac:dyDescent="0.25">
      <c r="G23" s="54"/>
      <c r="H23" s="54"/>
      <c r="I23" s="53"/>
    </row>
    <row r="24" spans="1:9" ht="78.75" customHeight="1" x14ac:dyDescent="0.25">
      <c r="A24" s="60" t="s">
        <v>122</v>
      </c>
      <c r="B24" s="60"/>
      <c r="C24" s="60"/>
      <c r="D24" s="60"/>
      <c r="E24" s="60"/>
      <c r="I24" s="55"/>
    </row>
    <row r="25" spans="1:9" x14ac:dyDescent="0.25">
      <c r="I25" s="56"/>
    </row>
    <row r="27" spans="1:9" x14ac:dyDescent="0.25">
      <c r="A27" s="57"/>
    </row>
    <row r="29" spans="1:9" x14ac:dyDescent="0.25">
      <c r="I29" s="55"/>
    </row>
    <row r="30" spans="1:9" x14ac:dyDescent="0.25">
      <c r="I30" s="55"/>
    </row>
    <row r="31" spans="1:9" x14ac:dyDescent="0.25">
      <c r="I31" s="55"/>
    </row>
    <row r="32" spans="1:9" x14ac:dyDescent="0.25">
      <c r="I32" s="55"/>
    </row>
    <row r="33" spans="9:9" x14ac:dyDescent="0.25">
      <c r="I33" s="55"/>
    </row>
    <row r="34" spans="9:9" x14ac:dyDescent="0.25">
      <c r="I34" s="56"/>
    </row>
    <row r="37" spans="9:9" x14ac:dyDescent="0.25">
      <c r="I37" s="55"/>
    </row>
    <row r="38" spans="9:9" x14ac:dyDescent="0.25">
      <c r="I38" s="55"/>
    </row>
    <row r="42" spans="9:9" x14ac:dyDescent="0.25">
      <c r="I42" s="55"/>
    </row>
    <row r="43" spans="9:9" x14ac:dyDescent="0.25">
      <c r="I43" s="55"/>
    </row>
    <row r="44" spans="9:9" x14ac:dyDescent="0.25">
      <c r="I44" s="55"/>
    </row>
    <row r="45" spans="9:9" x14ac:dyDescent="0.25">
      <c r="I45" s="55"/>
    </row>
    <row r="46" spans="9:9" x14ac:dyDescent="0.25">
      <c r="I46" s="55"/>
    </row>
    <row r="47" spans="9:9" x14ac:dyDescent="0.25">
      <c r="I47" s="56"/>
    </row>
    <row r="50" spans="9:9" x14ac:dyDescent="0.25">
      <c r="I50" s="55"/>
    </row>
    <row r="51" spans="9:9" x14ac:dyDescent="0.25">
      <c r="I51" s="55"/>
    </row>
    <row r="55" spans="9:9" x14ac:dyDescent="0.25">
      <c r="I55" s="55"/>
    </row>
    <row r="56" spans="9:9" x14ac:dyDescent="0.25">
      <c r="I56" s="55"/>
    </row>
    <row r="57" spans="9:9" x14ac:dyDescent="0.25">
      <c r="I57" s="55"/>
    </row>
    <row r="58" spans="9:9" x14ac:dyDescent="0.25">
      <c r="I58" s="55"/>
    </row>
    <row r="59" spans="9:9" x14ac:dyDescent="0.25">
      <c r="I59" s="55"/>
    </row>
    <row r="60" spans="9:9" x14ac:dyDescent="0.25">
      <c r="I60" s="56"/>
    </row>
    <row r="64" spans="9:9" x14ac:dyDescent="0.25">
      <c r="I64" s="55"/>
    </row>
    <row r="65" spans="9:9" x14ac:dyDescent="0.25">
      <c r="I65" s="55"/>
    </row>
    <row r="66" spans="9:9" x14ac:dyDescent="0.25">
      <c r="I66" s="55"/>
    </row>
    <row r="67" spans="9:9" x14ac:dyDescent="0.25">
      <c r="I67" s="55"/>
    </row>
    <row r="68" spans="9:9" x14ac:dyDescent="0.25">
      <c r="I68" s="55"/>
    </row>
    <row r="69" spans="9:9" x14ac:dyDescent="0.25">
      <c r="I69" s="56"/>
    </row>
    <row r="73" spans="9:9" x14ac:dyDescent="0.25">
      <c r="I73" s="55"/>
    </row>
    <row r="74" spans="9:9" x14ac:dyDescent="0.25">
      <c r="I74" s="55"/>
    </row>
    <row r="75" spans="9:9" x14ac:dyDescent="0.25">
      <c r="I75" s="55"/>
    </row>
    <row r="76" spans="9:9" x14ac:dyDescent="0.25">
      <c r="I76" s="55"/>
    </row>
    <row r="77" spans="9:9" x14ac:dyDescent="0.25">
      <c r="I77" s="55"/>
    </row>
    <row r="78" spans="9:9" x14ac:dyDescent="0.25">
      <c r="I78" s="56"/>
    </row>
    <row r="81" spans="9:9" x14ac:dyDescent="0.25">
      <c r="I81" s="55"/>
    </row>
    <row r="82" spans="9:9" x14ac:dyDescent="0.25">
      <c r="I82" s="55"/>
    </row>
    <row r="86" spans="9:9" x14ac:dyDescent="0.25">
      <c r="I86" s="55"/>
    </row>
    <row r="87" spans="9:9" x14ac:dyDescent="0.25">
      <c r="I87" s="55"/>
    </row>
    <row r="88" spans="9:9" x14ac:dyDescent="0.25">
      <c r="I88" s="55"/>
    </row>
    <row r="89" spans="9:9" x14ac:dyDescent="0.25">
      <c r="I89" s="55"/>
    </row>
    <row r="90" spans="9:9" x14ac:dyDescent="0.25">
      <c r="I90" s="55"/>
    </row>
    <row r="91" spans="9:9" x14ac:dyDescent="0.25">
      <c r="I91" s="56"/>
    </row>
    <row r="95" spans="9:9" x14ac:dyDescent="0.25">
      <c r="I95" s="55"/>
    </row>
    <row r="96" spans="9:9" x14ac:dyDescent="0.25">
      <c r="I96" s="55"/>
    </row>
    <row r="97" spans="9:9" x14ac:dyDescent="0.25">
      <c r="I97" s="55"/>
    </row>
    <row r="98" spans="9:9" x14ac:dyDescent="0.25">
      <c r="I98" s="55"/>
    </row>
    <row r="99" spans="9:9" x14ac:dyDescent="0.25">
      <c r="I99" s="55"/>
    </row>
    <row r="100" spans="9:9" x14ac:dyDescent="0.25">
      <c r="I100" s="56"/>
    </row>
    <row r="104" spans="9:9" x14ac:dyDescent="0.25">
      <c r="I104" s="55"/>
    </row>
    <row r="105" spans="9:9" x14ac:dyDescent="0.25">
      <c r="I105" s="55"/>
    </row>
    <row r="106" spans="9:9" x14ac:dyDescent="0.25">
      <c r="I106" s="55"/>
    </row>
    <row r="107" spans="9:9" x14ac:dyDescent="0.25">
      <c r="I107" s="55"/>
    </row>
    <row r="108" spans="9:9" x14ac:dyDescent="0.25">
      <c r="I108" s="55"/>
    </row>
    <row r="109" spans="9:9" x14ac:dyDescent="0.25">
      <c r="I109" s="56"/>
    </row>
    <row r="112" spans="9:9" x14ac:dyDescent="0.25">
      <c r="I112" s="55"/>
    </row>
    <row r="113" spans="9:9" x14ac:dyDescent="0.25">
      <c r="I113" s="55"/>
    </row>
    <row r="117" spans="9:9" x14ac:dyDescent="0.25">
      <c r="I117" s="55"/>
    </row>
    <row r="118" spans="9:9" x14ac:dyDescent="0.25">
      <c r="I118" s="55"/>
    </row>
    <row r="119" spans="9:9" x14ac:dyDescent="0.25">
      <c r="I119" s="55"/>
    </row>
    <row r="120" spans="9:9" x14ac:dyDescent="0.25">
      <c r="I120" s="55"/>
    </row>
    <row r="121" spans="9:9" x14ac:dyDescent="0.25">
      <c r="I121" s="55"/>
    </row>
    <row r="122" spans="9:9" x14ac:dyDescent="0.25">
      <c r="I122" s="56"/>
    </row>
    <row r="126" spans="9:9" x14ac:dyDescent="0.25">
      <c r="I126" s="55"/>
    </row>
    <row r="127" spans="9:9" x14ac:dyDescent="0.25">
      <c r="I127" s="55"/>
    </row>
    <row r="128" spans="9:9" x14ac:dyDescent="0.25">
      <c r="I128" s="55"/>
    </row>
    <row r="129" spans="9:9" x14ac:dyDescent="0.25">
      <c r="I129" s="55"/>
    </row>
    <row r="130" spans="9:9" x14ac:dyDescent="0.25">
      <c r="I130" s="55"/>
    </row>
    <row r="131" spans="9:9" x14ac:dyDescent="0.25">
      <c r="I131" s="56"/>
    </row>
    <row r="135" spans="9:9" x14ac:dyDescent="0.25">
      <c r="I135" s="55"/>
    </row>
    <row r="136" spans="9:9" x14ac:dyDescent="0.25">
      <c r="I136" s="55"/>
    </row>
    <row r="137" spans="9:9" x14ac:dyDescent="0.25">
      <c r="I137" s="55"/>
    </row>
    <row r="138" spans="9:9" x14ac:dyDescent="0.25">
      <c r="I138" s="55"/>
    </row>
    <row r="139" spans="9:9" x14ac:dyDescent="0.25">
      <c r="I139" s="55"/>
    </row>
    <row r="140" spans="9:9" x14ac:dyDescent="0.25">
      <c r="I140" s="56"/>
    </row>
    <row r="144" spans="9:9" x14ac:dyDescent="0.25">
      <c r="I144" s="55"/>
    </row>
    <row r="145" spans="9:9" x14ac:dyDescent="0.25">
      <c r="I145" s="55"/>
    </row>
    <row r="146" spans="9:9" x14ac:dyDescent="0.25">
      <c r="I146" s="55"/>
    </row>
    <row r="147" spans="9:9" x14ac:dyDescent="0.25">
      <c r="I147" s="55"/>
    </row>
    <row r="148" spans="9:9" x14ac:dyDescent="0.25">
      <c r="I148" s="55"/>
    </row>
    <row r="149" spans="9:9" x14ac:dyDescent="0.25">
      <c r="I149" s="56"/>
    </row>
    <row r="152" spans="9:9" x14ac:dyDescent="0.25">
      <c r="I152" s="55"/>
    </row>
    <row r="153" spans="9:9" x14ac:dyDescent="0.25">
      <c r="I153" s="55"/>
    </row>
    <row r="157" spans="9:9" x14ac:dyDescent="0.25">
      <c r="I157" s="55"/>
    </row>
    <row r="158" spans="9:9" x14ac:dyDescent="0.25">
      <c r="I158" s="55"/>
    </row>
    <row r="159" spans="9:9" x14ac:dyDescent="0.25">
      <c r="I159" s="55"/>
    </row>
    <row r="160" spans="9:9" x14ac:dyDescent="0.25">
      <c r="I160" s="55"/>
    </row>
    <row r="161" spans="9:9" x14ac:dyDescent="0.25">
      <c r="I161" s="55"/>
    </row>
    <row r="162" spans="9:9" x14ac:dyDescent="0.25">
      <c r="I162" s="56"/>
    </row>
    <row r="166" spans="9:9" x14ac:dyDescent="0.25">
      <c r="I166" s="55"/>
    </row>
    <row r="167" spans="9:9" x14ac:dyDescent="0.25">
      <c r="I167" s="55"/>
    </row>
    <row r="168" spans="9:9" x14ac:dyDescent="0.25">
      <c r="I168" s="55"/>
    </row>
    <row r="169" spans="9:9" x14ac:dyDescent="0.25">
      <c r="I169" s="55"/>
    </row>
    <row r="170" spans="9:9" x14ac:dyDescent="0.25">
      <c r="I170" s="55"/>
    </row>
    <row r="171" spans="9:9" x14ac:dyDescent="0.25">
      <c r="I171" s="56"/>
    </row>
    <row r="174" spans="9:9" x14ac:dyDescent="0.25">
      <c r="I174" s="55"/>
    </row>
    <row r="175" spans="9:9" x14ac:dyDescent="0.25">
      <c r="I175" s="55"/>
    </row>
  </sheetData>
  <mergeCells count="7">
    <mergeCell ref="A24:E24"/>
    <mergeCell ref="A9:E9"/>
    <mergeCell ref="A10:E10"/>
    <mergeCell ref="A11:E11"/>
    <mergeCell ref="A12:E12"/>
    <mergeCell ref="A13:E13"/>
    <mergeCell ref="A14:E14"/>
  </mergeCells>
  <hyperlinks>
    <hyperlink ref="A8" r:id="rId1" display="www.medtronic.com" xr:uid="{AD50A949-70B3-4C2A-A18C-70AC63DDAE3F}"/>
  </hyperlinks>
  <pageMargins left="0.7" right="0.7" top="0.75" bottom="0.75" header="0.3" footer="0.3"/>
  <pageSetup scale="78"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
  <sheetViews>
    <sheetView topLeftCell="T1" workbookViewId="0">
      <selection sqref="A1:B1"/>
    </sheetView>
  </sheetViews>
  <sheetFormatPr defaultRowHeight="13.2" x14ac:dyDescent="0.25"/>
  <cols>
    <col min="1" max="1" width="10.77734375" customWidth="1"/>
    <col min="2" max="2" width="15.6640625" customWidth="1"/>
    <col min="3" max="3" width="12.44140625" customWidth="1"/>
    <col min="4" max="4" width="25.88671875" customWidth="1"/>
    <col min="5" max="5" width="17.33203125" customWidth="1"/>
    <col min="6" max="6" width="25.88671875" customWidth="1"/>
    <col min="7" max="7" width="10.77734375" customWidth="1"/>
    <col min="8" max="8" width="18.5546875" customWidth="1"/>
    <col min="9" max="9" width="19.109375" customWidth="1"/>
    <col min="10" max="10" width="11.6640625" customWidth="1"/>
    <col min="11" max="11" width="10.77734375" customWidth="1"/>
    <col min="12" max="14" width="17.77734375" customWidth="1"/>
    <col min="15" max="16" width="20.109375" customWidth="1"/>
    <col min="17" max="18" width="19.109375" customWidth="1"/>
    <col min="19" max="19" width="19.77734375" customWidth="1"/>
    <col min="20" max="20" width="10.88671875" customWidth="1"/>
    <col min="21" max="21" width="44.33203125" customWidth="1"/>
    <col min="22" max="22" width="13.5546875" customWidth="1"/>
    <col min="23" max="23" width="11.44140625" customWidth="1"/>
    <col min="24" max="24" width="12.44140625" customWidth="1"/>
    <col min="25" max="25" width="17.88671875" customWidth="1"/>
    <col min="26" max="26" width="21" customWidth="1"/>
    <col min="27" max="27" width="20.21875" customWidth="1"/>
    <col min="28" max="28" width="11.44140625" customWidth="1"/>
    <col min="29" max="29" width="10.77734375" customWidth="1"/>
    <col min="30" max="30" width="16.77734375" customWidth="1"/>
    <col min="31" max="33" width="12.5546875" customWidth="1"/>
    <col min="34" max="34" width="26.6640625" customWidth="1"/>
    <col min="35" max="35" width="3.109375" customWidth="1"/>
  </cols>
  <sheetData>
    <row r="1" spans="1:34" s="1" customFormat="1" ht="20.25" customHeight="1" x14ac:dyDescent="0.2">
      <c r="A1" s="65" t="s">
        <v>105</v>
      </c>
      <c r="B1" s="65"/>
    </row>
    <row r="2" spans="1:34" s="1" customFormat="1" ht="16.05" customHeight="1" x14ac:dyDescent="0.2"/>
    <row r="3" spans="1:34" s="1" customFormat="1" ht="66.599999999999994" customHeight="1" x14ac:dyDescent="0.25">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row>
    <row r="4" spans="1:34" s="1" customFormat="1" ht="19.2" customHeight="1" x14ac:dyDescent="0.2">
      <c r="A4" s="3" t="s">
        <v>34</v>
      </c>
      <c r="B4" s="3" t="s">
        <v>35</v>
      </c>
      <c r="C4" s="3" t="s">
        <v>36</v>
      </c>
      <c r="D4" s="3" t="s">
        <v>37</v>
      </c>
      <c r="E4" s="3" t="s">
        <v>38</v>
      </c>
      <c r="F4" s="3" t="s">
        <v>37</v>
      </c>
      <c r="G4" s="3" t="s">
        <v>39</v>
      </c>
      <c r="H4" s="3" t="s">
        <v>40</v>
      </c>
      <c r="I4" s="3" t="s">
        <v>41</v>
      </c>
      <c r="J4" s="3" t="s">
        <v>42</v>
      </c>
      <c r="K4" s="3" t="s">
        <v>43</v>
      </c>
      <c r="L4" s="3" t="s">
        <v>44</v>
      </c>
      <c r="M4" s="3" t="s">
        <v>45</v>
      </c>
      <c r="N4" s="3" t="s">
        <v>46</v>
      </c>
      <c r="O4" s="3" t="s">
        <v>47</v>
      </c>
      <c r="P4" s="3" t="s">
        <v>48</v>
      </c>
      <c r="Q4" s="3" t="s">
        <v>49</v>
      </c>
      <c r="R4" s="3" t="s">
        <v>50</v>
      </c>
      <c r="S4" s="3" t="s">
        <v>51</v>
      </c>
      <c r="T4" s="3" t="s">
        <v>52</v>
      </c>
      <c r="U4" s="3" t="s">
        <v>53</v>
      </c>
      <c r="V4" s="3" t="s">
        <v>54</v>
      </c>
      <c r="W4" s="4">
        <v>45971</v>
      </c>
      <c r="X4" s="5" t="s">
        <v>55</v>
      </c>
      <c r="Y4" s="3" t="s">
        <v>56</v>
      </c>
      <c r="Z4" s="3" t="s">
        <v>57</v>
      </c>
      <c r="AA4" s="3" t="s">
        <v>58</v>
      </c>
      <c r="AB4" s="6">
        <v>317.88400000000001</v>
      </c>
      <c r="AC4" s="7">
        <v>0</v>
      </c>
      <c r="AD4" s="6">
        <v>6357.68</v>
      </c>
      <c r="AE4" s="8"/>
      <c r="AF4" s="8"/>
      <c r="AG4" s="3" t="s">
        <v>59</v>
      </c>
      <c r="AH4" s="3" t="s">
        <v>60</v>
      </c>
    </row>
    <row r="5" spans="1:34" s="1" customFormat="1" ht="19.2" customHeight="1" x14ac:dyDescent="0.2">
      <c r="A5" s="9" t="s">
        <v>34</v>
      </c>
      <c r="B5" s="9" t="s">
        <v>35</v>
      </c>
      <c r="C5" s="9" t="s">
        <v>36</v>
      </c>
      <c r="D5" s="9" t="s">
        <v>37</v>
      </c>
      <c r="E5" s="9" t="s">
        <v>38</v>
      </c>
      <c r="F5" s="9" t="s">
        <v>37</v>
      </c>
      <c r="G5" s="9" t="s">
        <v>39</v>
      </c>
      <c r="H5" s="9" t="s">
        <v>40</v>
      </c>
      <c r="I5" s="9" t="s">
        <v>41</v>
      </c>
      <c r="J5" s="9" t="s">
        <v>42</v>
      </c>
      <c r="K5" s="9" t="s">
        <v>43</v>
      </c>
      <c r="L5" s="9" t="s">
        <v>61</v>
      </c>
      <c r="M5" s="9" t="s">
        <v>62</v>
      </c>
      <c r="N5" s="9" t="s">
        <v>63</v>
      </c>
      <c r="O5" s="9" t="s">
        <v>64</v>
      </c>
      <c r="P5" s="9" t="s">
        <v>48</v>
      </c>
      <c r="Q5" s="9" t="s">
        <v>49</v>
      </c>
      <c r="R5" s="9" t="s">
        <v>50</v>
      </c>
      <c r="S5" s="9" t="s">
        <v>65</v>
      </c>
      <c r="T5" s="9" t="s">
        <v>66</v>
      </c>
      <c r="U5" s="9" t="s">
        <v>67</v>
      </c>
      <c r="V5" s="9" t="s">
        <v>68</v>
      </c>
      <c r="W5" s="10">
        <v>45971</v>
      </c>
      <c r="X5" s="11" t="s">
        <v>55</v>
      </c>
      <c r="Y5" s="9" t="s">
        <v>56</v>
      </c>
      <c r="Z5" s="9" t="s">
        <v>57</v>
      </c>
      <c r="AA5" s="9" t="s">
        <v>58</v>
      </c>
      <c r="AB5" s="12">
        <v>13902.12</v>
      </c>
      <c r="AC5" s="13">
        <v>0</v>
      </c>
      <c r="AD5" s="12">
        <v>13902.12</v>
      </c>
      <c r="AE5" s="14"/>
      <c r="AF5" s="14"/>
      <c r="AG5" s="9" t="s">
        <v>59</v>
      </c>
      <c r="AH5" s="9" t="s">
        <v>60</v>
      </c>
    </row>
    <row r="6" spans="1:34" s="1" customFormat="1" ht="19.2" customHeight="1" x14ac:dyDescent="0.2">
      <c r="A6" s="3" t="s">
        <v>34</v>
      </c>
      <c r="B6" s="3" t="s">
        <v>35</v>
      </c>
      <c r="C6" s="3" t="s">
        <v>36</v>
      </c>
      <c r="D6" s="3" t="s">
        <v>37</v>
      </c>
      <c r="E6" s="3" t="s">
        <v>38</v>
      </c>
      <c r="F6" s="3" t="s">
        <v>37</v>
      </c>
      <c r="G6" s="3" t="s">
        <v>39</v>
      </c>
      <c r="H6" s="3" t="s">
        <v>40</v>
      </c>
      <c r="I6" s="3" t="s">
        <v>41</v>
      </c>
      <c r="J6" s="3" t="s">
        <v>42</v>
      </c>
      <c r="K6" s="3" t="s">
        <v>43</v>
      </c>
      <c r="L6" s="3" t="s">
        <v>61</v>
      </c>
      <c r="M6" s="3" t="s">
        <v>62</v>
      </c>
      <c r="N6" s="3" t="s">
        <v>63</v>
      </c>
      <c r="O6" s="3" t="s">
        <v>64</v>
      </c>
      <c r="P6" s="3" t="s">
        <v>48</v>
      </c>
      <c r="Q6" s="3" t="s">
        <v>49</v>
      </c>
      <c r="R6" s="3" t="s">
        <v>50</v>
      </c>
      <c r="S6" s="3" t="s">
        <v>65</v>
      </c>
      <c r="T6" s="3" t="s">
        <v>66</v>
      </c>
      <c r="U6" s="3" t="s">
        <v>67</v>
      </c>
      <c r="V6" s="3" t="s">
        <v>69</v>
      </c>
      <c r="W6" s="4">
        <v>45971</v>
      </c>
      <c r="X6" s="5" t="s">
        <v>55</v>
      </c>
      <c r="Y6" s="3" t="s">
        <v>56</v>
      </c>
      <c r="Z6" s="3" t="s">
        <v>57</v>
      </c>
      <c r="AA6" s="3" t="s">
        <v>58</v>
      </c>
      <c r="AB6" s="6">
        <v>13902.11</v>
      </c>
      <c r="AC6" s="7">
        <v>0</v>
      </c>
      <c r="AD6" s="6">
        <v>13902.11</v>
      </c>
      <c r="AE6" s="8"/>
      <c r="AF6" s="8"/>
      <c r="AG6" s="3" t="s">
        <v>59</v>
      </c>
      <c r="AH6" s="3" t="s">
        <v>60</v>
      </c>
    </row>
    <row r="7" spans="1:34" s="1" customFormat="1" ht="19.2" customHeight="1" x14ac:dyDescent="0.2">
      <c r="A7" s="9" t="s">
        <v>34</v>
      </c>
      <c r="B7" s="9" t="s">
        <v>35</v>
      </c>
      <c r="C7" s="9" t="s">
        <v>36</v>
      </c>
      <c r="D7" s="9" t="s">
        <v>37</v>
      </c>
      <c r="E7" s="9" t="s">
        <v>38</v>
      </c>
      <c r="F7" s="9" t="s">
        <v>37</v>
      </c>
      <c r="G7" s="9" t="s">
        <v>39</v>
      </c>
      <c r="H7" s="9" t="s">
        <v>40</v>
      </c>
      <c r="I7" s="9" t="s">
        <v>41</v>
      </c>
      <c r="J7" s="9" t="s">
        <v>42</v>
      </c>
      <c r="K7" s="9" t="s">
        <v>43</v>
      </c>
      <c r="L7" s="9" t="s">
        <v>61</v>
      </c>
      <c r="M7" s="9" t="s">
        <v>62</v>
      </c>
      <c r="N7" s="9" t="s">
        <v>63</v>
      </c>
      <c r="O7" s="9" t="s">
        <v>64</v>
      </c>
      <c r="P7" s="9" t="s">
        <v>48</v>
      </c>
      <c r="Q7" s="9" t="s">
        <v>49</v>
      </c>
      <c r="R7" s="9" t="s">
        <v>50</v>
      </c>
      <c r="S7" s="9" t="s">
        <v>65</v>
      </c>
      <c r="T7" s="9" t="s">
        <v>66</v>
      </c>
      <c r="U7" s="9" t="s">
        <v>67</v>
      </c>
      <c r="V7" s="9" t="s">
        <v>70</v>
      </c>
      <c r="W7" s="10">
        <v>45971</v>
      </c>
      <c r="X7" s="11" t="s">
        <v>55</v>
      </c>
      <c r="Y7" s="9" t="s">
        <v>56</v>
      </c>
      <c r="Z7" s="9" t="s">
        <v>57</v>
      </c>
      <c r="AA7" s="9" t="s">
        <v>58</v>
      </c>
      <c r="AB7" s="12">
        <v>13902.12</v>
      </c>
      <c r="AC7" s="13">
        <v>0</v>
      </c>
      <c r="AD7" s="12">
        <v>13902.12</v>
      </c>
      <c r="AE7" s="14"/>
      <c r="AF7" s="14"/>
      <c r="AG7" s="9" t="s">
        <v>59</v>
      </c>
      <c r="AH7" s="9" t="s">
        <v>60</v>
      </c>
    </row>
    <row r="8" spans="1:34" s="1" customFormat="1" ht="19.2" customHeight="1" x14ac:dyDescent="0.2">
      <c r="A8" s="3" t="s">
        <v>34</v>
      </c>
      <c r="B8" s="3" t="s">
        <v>35</v>
      </c>
      <c r="C8" s="3" t="s">
        <v>36</v>
      </c>
      <c r="D8" s="3" t="s">
        <v>37</v>
      </c>
      <c r="E8" s="3" t="s">
        <v>38</v>
      </c>
      <c r="F8" s="3" t="s">
        <v>37</v>
      </c>
      <c r="G8" s="3" t="s">
        <v>39</v>
      </c>
      <c r="H8" s="3" t="s">
        <v>40</v>
      </c>
      <c r="I8" s="3" t="s">
        <v>41</v>
      </c>
      <c r="J8" s="3" t="s">
        <v>42</v>
      </c>
      <c r="K8" s="3" t="s">
        <v>43</v>
      </c>
      <c r="L8" s="3" t="s">
        <v>61</v>
      </c>
      <c r="M8" s="3" t="s">
        <v>62</v>
      </c>
      <c r="N8" s="3" t="s">
        <v>63</v>
      </c>
      <c r="O8" s="3" t="s">
        <v>64</v>
      </c>
      <c r="P8" s="3" t="s">
        <v>48</v>
      </c>
      <c r="Q8" s="3" t="s">
        <v>49</v>
      </c>
      <c r="R8" s="3" t="s">
        <v>50</v>
      </c>
      <c r="S8" s="3" t="s">
        <v>65</v>
      </c>
      <c r="T8" s="3" t="s">
        <v>66</v>
      </c>
      <c r="U8" s="3" t="s">
        <v>67</v>
      </c>
      <c r="V8" s="3" t="s">
        <v>71</v>
      </c>
      <c r="W8" s="4">
        <v>45971</v>
      </c>
      <c r="X8" s="5" t="s">
        <v>55</v>
      </c>
      <c r="Y8" s="3" t="s">
        <v>56</v>
      </c>
      <c r="Z8" s="3" t="s">
        <v>57</v>
      </c>
      <c r="AA8" s="3" t="s">
        <v>58</v>
      </c>
      <c r="AB8" s="6">
        <v>13902.11</v>
      </c>
      <c r="AC8" s="7">
        <v>0</v>
      </c>
      <c r="AD8" s="6">
        <v>13902.11</v>
      </c>
      <c r="AE8" s="8"/>
      <c r="AF8" s="8"/>
      <c r="AG8" s="3" t="s">
        <v>59</v>
      </c>
      <c r="AH8" s="3" t="s">
        <v>60</v>
      </c>
    </row>
    <row r="9" spans="1:34" s="1" customFormat="1" ht="19.2" customHeight="1" x14ac:dyDescent="0.2">
      <c r="A9" s="9" t="s">
        <v>34</v>
      </c>
      <c r="B9" s="9" t="s">
        <v>35</v>
      </c>
      <c r="C9" s="9" t="s">
        <v>36</v>
      </c>
      <c r="D9" s="9" t="s">
        <v>37</v>
      </c>
      <c r="E9" s="9" t="s">
        <v>38</v>
      </c>
      <c r="F9" s="9" t="s">
        <v>37</v>
      </c>
      <c r="G9" s="9" t="s">
        <v>39</v>
      </c>
      <c r="H9" s="9" t="s">
        <v>40</v>
      </c>
      <c r="I9" s="9" t="s">
        <v>41</v>
      </c>
      <c r="J9" s="9" t="s">
        <v>42</v>
      </c>
      <c r="K9" s="9" t="s">
        <v>43</v>
      </c>
      <c r="L9" s="9" t="s">
        <v>61</v>
      </c>
      <c r="M9" s="9" t="s">
        <v>62</v>
      </c>
      <c r="N9" s="9" t="s">
        <v>63</v>
      </c>
      <c r="O9" s="9" t="s">
        <v>64</v>
      </c>
      <c r="P9" s="9" t="s">
        <v>48</v>
      </c>
      <c r="Q9" s="9" t="s">
        <v>49</v>
      </c>
      <c r="R9" s="9" t="s">
        <v>50</v>
      </c>
      <c r="S9" s="9" t="s">
        <v>65</v>
      </c>
      <c r="T9" s="9" t="s">
        <v>66</v>
      </c>
      <c r="U9" s="9" t="s">
        <v>67</v>
      </c>
      <c r="V9" s="9" t="s">
        <v>72</v>
      </c>
      <c r="W9" s="10">
        <v>45971</v>
      </c>
      <c r="X9" s="11" t="s">
        <v>55</v>
      </c>
      <c r="Y9" s="9" t="s">
        <v>56</v>
      </c>
      <c r="Z9" s="9" t="s">
        <v>57</v>
      </c>
      <c r="AA9" s="9" t="s">
        <v>58</v>
      </c>
      <c r="AB9" s="12">
        <v>13902.12</v>
      </c>
      <c r="AC9" s="13">
        <v>0</v>
      </c>
      <c r="AD9" s="12">
        <v>13902.12</v>
      </c>
      <c r="AE9" s="14"/>
      <c r="AF9" s="14"/>
      <c r="AG9" s="9" t="s">
        <v>59</v>
      </c>
      <c r="AH9" s="9" t="s">
        <v>60</v>
      </c>
    </row>
    <row r="10" spans="1:34" s="1" customFormat="1" ht="19.2" customHeight="1" x14ac:dyDescent="0.2">
      <c r="A10" s="3" t="s">
        <v>34</v>
      </c>
      <c r="B10" s="3" t="s">
        <v>35</v>
      </c>
      <c r="C10" s="3" t="s">
        <v>36</v>
      </c>
      <c r="D10" s="3" t="s">
        <v>37</v>
      </c>
      <c r="E10" s="3" t="s">
        <v>38</v>
      </c>
      <c r="F10" s="3" t="s">
        <v>37</v>
      </c>
      <c r="G10" s="3" t="s">
        <v>39</v>
      </c>
      <c r="H10" s="3" t="s">
        <v>40</v>
      </c>
      <c r="I10" s="3" t="s">
        <v>41</v>
      </c>
      <c r="J10" s="3" t="s">
        <v>42</v>
      </c>
      <c r="K10" s="3" t="s">
        <v>43</v>
      </c>
      <c r="L10" s="3" t="s">
        <v>61</v>
      </c>
      <c r="M10" s="3" t="s">
        <v>62</v>
      </c>
      <c r="N10" s="3" t="s">
        <v>63</v>
      </c>
      <c r="O10" s="3" t="s">
        <v>64</v>
      </c>
      <c r="P10" s="3" t="s">
        <v>48</v>
      </c>
      <c r="Q10" s="3" t="s">
        <v>49</v>
      </c>
      <c r="R10" s="3" t="s">
        <v>50</v>
      </c>
      <c r="S10" s="3" t="s">
        <v>65</v>
      </c>
      <c r="T10" s="3" t="s">
        <v>66</v>
      </c>
      <c r="U10" s="3" t="s">
        <v>67</v>
      </c>
      <c r="V10" s="3" t="s">
        <v>73</v>
      </c>
      <c r="W10" s="4">
        <v>45971</v>
      </c>
      <c r="X10" s="5" t="s">
        <v>55</v>
      </c>
      <c r="Y10" s="3" t="s">
        <v>56</v>
      </c>
      <c r="Z10" s="3" t="s">
        <v>57</v>
      </c>
      <c r="AA10" s="3" t="s">
        <v>58</v>
      </c>
      <c r="AB10" s="6">
        <v>13902.12</v>
      </c>
      <c r="AC10" s="7">
        <v>0</v>
      </c>
      <c r="AD10" s="6">
        <v>13902.12</v>
      </c>
      <c r="AE10" s="8"/>
      <c r="AF10" s="8"/>
      <c r="AG10" s="3" t="s">
        <v>59</v>
      </c>
      <c r="AH10" s="3" t="s">
        <v>60</v>
      </c>
    </row>
    <row r="11" spans="1:34" s="1" customFormat="1" ht="19.2" customHeight="1" x14ac:dyDescent="0.2">
      <c r="A11" s="9" t="s">
        <v>34</v>
      </c>
      <c r="B11" s="9" t="s">
        <v>35</v>
      </c>
      <c r="C11" s="9" t="s">
        <v>36</v>
      </c>
      <c r="D11" s="9" t="s">
        <v>37</v>
      </c>
      <c r="E11" s="9" t="s">
        <v>38</v>
      </c>
      <c r="F11" s="9" t="s">
        <v>37</v>
      </c>
      <c r="G11" s="9" t="s">
        <v>39</v>
      </c>
      <c r="H11" s="9" t="s">
        <v>40</v>
      </c>
      <c r="I11" s="9" t="s">
        <v>41</v>
      </c>
      <c r="J11" s="9" t="s">
        <v>42</v>
      </c>
      <c r="K11" s="9" t="s">
        <v>43</v>
      </c>
      <c r="L11" s="9" t="s">
        <v>61</v>
      </c>
      <c r="M11" s="9" t="s">
        <v>62</v>
      </c>
      <c r="N11" s="9" t="s">
        <v>63</v>
      </c>
      <c r="O11" s="9" t="s">
        <v>64</v>
      </c>
      <c r="P11" s="9" t="s">
        <v>48</v>
      </c>
      <c r="Q11" s="9" t="s">
        <v>49</v>
      </c>
      <c r="R11" s="9" t="s">
        <v>50</v>
      </c>
      <c r="S11" s="9" t="s">
        <v>65</v>
      </c>
      <c r="T11" s="9" t="s">
        <v>66</v>
      </c>
      <c r="U11" s="9" t="s">
        <v>67</v>
      </c>
      <c r="V11" s="9" t="s">
        <v>74</v>
      </c>
      <c r="W11" s="10">
        <v>45971</v>
      </c>
      <c r="X11" s="11" t="s">
        <v>55</v>
      </c>
      <c r="Y11" s="9" t="s">
        <v>56</v>
      </c>
      <c r="Z11" s="9" t="s">
        <v>57</v>
      </c>
      <c r="AA11" s="9" t="s">
        <v>58</v>
      </c>
      <c r="AB11" s="12">
        <v>13902.11</v>
      </c>
      <c r="AC11" s="13">
        <v>0</v>
      </c>
      <c r="AD11" s="12">
        <v>13902.11</v>
      </c>
      <c r="AE11" s="14"/>
      <c r="AF11" s="14"/>
      <c r="AG11" s="9" t="s">
        <v>59</v>
      </c>
      <c r="AH11" s="9" t="s">
        <v>60</v>
      </c>
    </row>
    <row r="12" spans="1:34" s="1" customFormat="1" ht="19.2" customHeight="1" x14ac:dyDescent="0.2">
      <c r="A12" s="3" t="s">
        <v>34</v>
      </c>
      <c r="B12" s="3" t="s">
        <v>35</v>
      </c>
      <c r="C12" s="3" t="s">
        <v>36</v>
      </c>
      <c r="D12" s="3" t="s">
        <v>37</v>
      </c>
      <c r="E12" s="3" t="s">
        <v>38</v>
      </c>
      <c r="F12" s="3" t="s">
        <v>37</v>
      </c>
      <c r="G12" s="3" t="s">
        <v>39</v>
      </c>
      <c r="H12" s="3" t="s">
        <v>40</v>
      </c>
      <c r="I12" s="3" t="s">
        <v>41</v>
      </c>
      <c r="J12" s="3" t="s">
        <v>42</v>
      </c>
      <c r="K12" s="3" t="s">
        <v>43</v>
      </c>
      <c r="L12" s="3" t="s">
        <v>61</v>
      </c>
      <c r="M12" s="3" t="s">
        <v>62</v>
      </c>
      <c r="N12" s="3" t="s">
        <v>63</v>
      </c>
      <c r="O12" s="3" t="s">
        <v>64</v>
      </c>
      <c r="P12" s="3" t="s">
        <v>48</v>
      </c>
      <c r="Q12" s="3" t="s">
        <v>49</v>
      </c>
      <c r="R12" s="3" t="s">
        <v>50</v>
      </c>
      <c r="S12" s="3" t="s">
        <v>65</v>
      </c>
      <c r="T12" s="3" t="s">
        <v>66</v>
      </c>
      <c r="U12" s="3" t="s">
        <v>67</v>
      </c>
      <c r="V12" s="3" t="s">
        <v>75</v>
      </c>
      <c r="W12" s="4">
        <v>45971</v>
      </c>
      <c r="X12" s="5" t="s">
        <v>55</v>
      </c>
      <c r="Y12" s="3" t="s">
        <v>56</v>
      </c>
      <c r="Z12" s="3" t="s">
        <v>57</v>
      </c>
      <c r="AA12" s="3" t="s">
        <v>58</v>
      </c>
      <c r="AB12" s="6">
        <v>13902.12</v>
      </c>
      <c r="AC12" s="7">
        <v>0</v>
      </c>
      <c r="AD12" s="6">
        <v>13902.12</v>
      </c>
      <c r="AE12" s="8"/>
      <c r="AF12" s="8"/>
      <c r="AG12" s="3" t="s">
        <v>59</v>
      </c>
      <c r="AH12" s="3" t="s">
        <v>60</v>
      </c>
    </row>
    <row r="13" spans="1:34" s="1" customFormat="1" ht="19.2" customHeight="1" x14ac:dyDescent="0.2">
      <c r="A13" s="9" t="s">
        <v>34</v>
      </c>
      <c r="B13" s="9" t="s">
        <v>35</v>
      </c>
      <c r="C13" s="9" t="s">
        <v>36</v>
      </c>
      <c r="D13" s="9" t="s">
        <v>37</v>
      </c>
      <c r="E13" s="9" t="s">
        <v>38</v>
      </c>
      <c r="F13" s="9" t="s">
        <v>37</v>
      </c>
      <c r="G13" s="9" t="s">
        <v>39</v>
      </c>
      <c r="H13" s="9" t="s">
        <v>40</v>
      </c>
      <c r="I13" s="9" t="s">
        <v>41</v>
      </c>
      <c r="J13" s="9" t="s">
        <v>42</v>
      </c>
      <c r="K13" s="9" t="s">
        <v>43</v>
      </c>
      <c r="L13" s="9" t="s">
        <v>61</v>
      </c>
      <c r="M13" s="9" t="s">
        <v>62</v>
      </c>
      <c r="N13" s="9" t="s">
        <v>63</v>
      </c>
      <c r="O13" s="9" t="s">
        <v>64</v>
      </c>
      <c r="P13" s="9" t="s">
        <v>48</v>
      </c>
      <c r="Q13" s="9" t="s">
        <v>49</v>
      </c>
      <c r="R13" s="9" t="s">
        <v>50</v>
      </c>
      <c r="S13" s="9" t="s">
        <v>65</v>
      </c>
      <c r="T13" s="9" t="s">
        <v>66</v>
      </c>
      <c r="U13" s="9" t="s">
        <v>67</v>
      </c>
      <c r="V13" s="9" t="s">
        <v>76</v>
      </c>
      <c r="W13" s="10">
        <v>45971</v>
      </c>
      <c r="X13" s="11" t="s">
        <v>55</v>
      </c>
      <c r="Y13" s="9" t="s">
        <v>56</v>
      </c>
      <c r="Z13" s="9" t="s">
        <v>57</v>
      </c>
      <c r="AA13" s="9" t="s">
        <v>58</v>
      </c>
      <c r="AB13" s="12">
        <v>13902.11</v>
      </c>
      <c r="AC13" s="13">
        <v>0</v>
      </c>
      <c r="AD13" s="12">
        <v>13902.11</v>
      </c>
      <c r="AE13" s="14"/>
      <c r="AF13" s="14"/>
      <c r="AG13" s="9" t="s">
        <v>59</v>
      </c>
      <c r="AH13" s="9" t="s">
        <v>60</v>
      </c>
    </row>
    <row r="14" spans="1:34" s="1" customFormat="1" ht="19.2" customHeight="1" x14ac:dyDescent="0.2">
      <c r="A14" s="3" t="s">
        <v>34</v>
      </c>
      <c r="B14" s="3" t="s">
        <v>35</v>
      </c>
      <c r="C14" s="3" t="s">
        <v>36</v>
      </c>
      <c r="D14" s="3" t="s">
        <v>37</v>
      </c>
      <c r="E14" s="3" t="s">
        <v>38</v>
      </c>
      <c r="F14" s="3" t="s">
        <v>37</v>
      </c>
      <c r="G14" s="3" t="s">
        <v>39</v>
      </c>
      <c r="H14" s="3" t="s">
        <v>40</v>
      </c>
      <c r="I14" s="3" t="s">
        <v>41</v>
      </c>
      <c r="J14" s="3" t="s">
        <v>42</v>
      </c>
      <c r="K14" s="3" t="s">
        <v>43</v>
      </c>
      <c r="L14" s="3" t="s">
        <v>61</v>
      </c>
      <c r="M14" s="3" t="s">
        <v>62</v>
      </c>
      <c r="N14" s="3" t="s">
        <v>63</v>
      </c>
      <c r="O14" s="3" t="s">
        <v>64</v>
      </c>
      <c r="P14" s="3" t="s">
        <v>48</v>
      </c>
      <c r="Q14" s="3" t="s">
        <v>49</v>
      </c>
      <c r="R14" s="3" t="s">
        <v>50</v>
      </c>
      <c r="S14" s="3" t="s">
        <v>65</v>
      </c>
      <c r="T14" s="3" t="s">
        <v>66</v>
      </c>
      <c r="U14" s="3" t="s">
        <v>67</v>
      </c>
      <c r="V14" s="3" t="s">
        <v>77</v>
      </c>
      <c r="W14" s="4">
        <v>45971</v>
      </c>
      <c r="X14" s="5" t="s">
        <v>55</v>
      </c>
      <c r="Y14" s="3" t="s">
        <v>56</v>
      </c>
      <c r="Z14" s="3" t="s">
        <v>57</v>
      </c>
      <c r="AA14" s="3" t="s">
        <v>58</v>
      </c>
      <c r="AB14" s="6">
        <v>13902.12</v>
      </c>
      <c r="AC14" s="7">
        <v>0</v>
      </c>
      <c r="AD14" s="6">
        <v>13902.12</v>
      </c>
      <c r="AE14" s="8"/>
      <c r="AF14" s="8"/>
      <c r="AG14" s="3" t="s">
        <v>59</v>
      </c>
      <c r="AH14" s="3" t="s">
        <v>60</v>
      </c>
    </row>
    <row r="15" spans="1:34" s="1" customFormat="1" ht="19.2" customHeight="1" x14ac:dyDescent="0.2">
      <c r="A15" s="9" t="s">
        <v>34</v>
      </c>
      <c r="B15" s="9" t="s">
        <v>35</v>
      </c>
      <c r="C15" s="9" t="s">
        <v>36</v>
      </c>
      <c r="D15" s="9" t="s">
        <v>37</v>
      </c>
      <c r="E15" s="9" t="s">
        <v>38</v>
      </c>
      <c r="F15" s="9" t="s">
        <v>37</v>
      </c>
      <c r="G15" s="9" t="s">
        <v>39</v>
      </c>
      <c r="H15" s="9" t="s">
        <v>40</v>
      </c>
      <c r="I15" s="9" t="s">
        <v>41</v>
      </c>
      <c r="J15" s="9" t="s">
        <v>42</v>
      </c>
      <c r="K15" s="9" t="s">
        <v>43</v>
      </c>
      <c r="L15" s="9" t="s">
        <v>61</v>
      </c>
      <c r="M15" s="9" t="s">
        <v>62</v>
      </c>
      <c r="N15" s="9" t="s">
        <v>63</v>
      </c>
      <c r="O15" s="9" t="s">
        <v>64</v>
      </c>
      <c r="P15" s="9" t="s">
        <v>48</v>
      </c>
      <c r="Q15" s="9" t="s">
        <v>49</v>
      </c>
      <c r="R15" s="9" t="s">
        <v>50</v>
      </c>
      <c r="S15" s="9" t="s">
        <v>65</v>
      </c>
      <c r="T15" s="9" t="s">
        <v>66</v>
      </c>
      <c r="U15" s="9" t="s">
        <v>67</v>
      </c>
      <c r="V15" s="9" t="s">
        <v>78</v>
      </c>
      <c r="W15" s="10">
        <v>45971</v>
      </c>
      <c r="X15" s="11" t="s">
        <v>55</v>
      </c>
      <c r="Y15" s="9" t="s">
        <v>56</v>
      </c>
      <c r="Z15" s="9" t="s">
        <v>57</v>
      </c>
      <c r="AA15" s="9" t="s">
        <v>58</v>
      </c>
      <c r="AB15" s="12">
        <v>13902.12</v>
      </c>
      <c r="AC15" s="13">
        <v>0</v>
      </c>
      <c r="AD15" s="12">
        <v>13902.12</v>
      </c>
      <c r="AE15" s="14"/>
      <c r="AF15" s="14"/>
      <c r="AG15" s="9" t="s">
        <v>59</v>
      </c>
      <c r="AH15" s="9" t="s">
        <v>60</v>
      </c>
    </row>
    <row r="16" spans="1:34" s="1" customFormat="1" ht="19.2" customHeight="1" x14ac:dyDescent="0.2">
      <c r="A16" s="3" t="s">
        <v>34</v>
      </c>
      <c r="B16" s="3" t="s">
        <v>35</v>
      </c>
      <c r="C16" s="3" t="s">
        <v>36</v>
      </c>
      <c r="D16" s="3" t="s">
        <v>37</v>
      </c>
      <c r="E16" s="3" t="s">
        <v>38</v>
      </c>
      <c r="F16" s="3" t="s">
        <v>37</v>
      </c>
      <c r="G16" s="3" t="s">
        <v>39</v>
      </c>
      <c r="H16" s="3" t="s">
        <v>40</v>
      </c>
      <c r="I16" s="3" t="s">
        <v>41</v>
      </c>
      <c r="J16" s="3" t="s">
        <v>42</v>
      </c>
      <c r="K16" s="3" t="s">
        <v>43</v>
      </c>
      <c r="L16" s="3" t="s">
        <v>61</v>
      </c>
      <c r="M16" s="3" t="s">
        <v>62</v>
      </c>
      <c r="N16" s="3" t="s">
        <v>63</v>
      </c>
      <c r="O16" s="3" t="s">
        <v>64</v>
      </c>
      <c r="P16" s="3" t="s">
        <v>48</v>
      </c>
      <c r="Q16" s="3" t="s">
        <v>49</v>
      </c>
      <c r="R16" s="3" t="s">
        <v>50</v>
      </c>
      <c r="S16" s="3" t="s">
        <v>65</v>
      </c>
      <c r="T16" s="3" t="s">
        <v>66</v>
      </c>
      <c r="U16" s="3" t="s">
        <v>67</v>
      </c>
      <c r="V16" s="3" t="s">
        <v>79</v>
      </c>
      <c r="W16" s="4">
        <v>45971</v>
      </c>
      <c r="X16" s="5" t="s">
        <v>55</v>
      </c>
      <c r="Y16" s="3" t="s">
        <v>56</v>
      </c>
      <c r="Z16" s="3" t="s">
        <v>57</v>
      </c>
      <c r="AA16" s="3" t="s">
        <v>58</v>
      </c>
      <c r="AB16" s="6">
        <v>13902.11</v>
      </c>
      <c r="AC16" s="7">
        <v>0</v>
      </c>
      <c r="AD16" s="6">
        <v>13902.11</v>
      </c>
      <c r="AE16" s="8"/>
      <c r="AF16" s="8"/>
      <c r="AG16" s="3" t="s">
        <v>59</v>
      </c>
      <c r="AH16" s="3" t="s">
        <v>60</v>
      </c>
    </row>
    <row r="17" spans="1:34" s="1" customFormat="1" ht="19.2" customHeight="1" x14ac:dyDescent="0.2">
      <c r="A17" s="9" t="s">
        <v>34</v>
      </c>
      <c r="B17" s="9" t="s">
        <v>35</v>
      </c>
      <c r="C17" s="9" t="s">
        <v>36</v>
      </c>
      <c r="D17" s="9" t="s">
        <v>37</v>
      </c>
      <c r="E17" s="9" t="s">
        <v>38</v>
      </c>
      <c r="F17" s="9" t="s">
        <v>37</v>
      </c>
      <c r="G17" s="9" t="s">
        <v>39</v>
      </c>
      <c r="H17" s="9" t="s">
        <v>40</v>
      </c>
      <c r="I17" s="9" t="s">
        <v>41</v>
      </c>
      <c r="J17" s="9" t="s">
        <v>42</v>
      </c>
      <c r="K17" s="9" t="s">
        <v>43</v>
      </c>
      <c r="L17" s="9" t="s">
        <v>61</v>
      </c>
      <c r="M17" s="9" t="s">
        <v>62</v>
      </c>
      <c r="N17" s="9" t="s">
        <v>63</v>
      </c>
      <c r="O17" s="9" t="s">
        <v>64</v>
      </c>
      <c r="P17" s="9" t="s">
        <v>48</v>
      </c>
      <c r="Q17" s="9" t="s">
        <v>49</v>
      </c>
      <c r="R17" s="9" t="s">
        <v>50</v>
      </c>
      <c r="S17" s="9" t="s">
        <v>65</v>
      </c>
      <c r="T17" s="9" t="s">
        <v>66</v>
      </c>
      <c r="U17" s="9" t="s">
        <v>67</v>
      </c>
      <c r="V17" s="9" t="s">
        <v>80</v>
      </c>
      <c r="W17" s="10">
        <v>45971</v>
      </c>
      <c r="X17" s="11" t="s">
        <v>55</v>
      </c>
      <c r="Y17" s="9" t="s">
        <v>56</v>
      </c>
      <c r="Z17" s="9" t="s">
        <v>57</v>
      </c>
      <c r="AA17" s="9" t="s">
        <v>58</v>
      </c>
      <c r="AB17" s="12">
        <v>13902.12</v>
      </c>
      <c r="AC17" s="13">
        <v>0</v>
      </c>
      <c r="AD17" s="12">
        <v>13902.12</v>
      </c>
      <c r="AE17" s="14"/>
      <c r="AF17" s="14"/>
      <c r="AG17" s="9" t="s">
        <v>59</v>
      </c>
      <c r="AH17" s="9" t="s">
        <v>60</v>
      </c>
    </row>
    <row r="18" spans="1:34" s="1" customFormat="1" ht="19.2" customHeight="1" x14ac:dyDescent="0.2">
      <c r="A18" s="3" t="s">
        <v>34</v>
      </c>
      <c r="B18" s="3" t="s">
        <v>35</v>
      </c>
      <c r="C18" s="3" t="s">
        <v>36</v>
      </c>
      <c r="D18" s="3" t="s">
        <v>37</v>
      </c>
      <c r="E18" s="3" t="s">
        <v>38</v>
      </c>
      <c r="F18" s="3" t="s">
        <v>37</v>
      </c>
      <c r="G18" s="3" t="s">
        <v>39</v>
      </c>
      <c r="H18" s="3" t="s">
        <v>40</v>
      </c>
      <c r="I18" s="3" t="s">
        <v>41</v>
      </c>
      <c r="J18" s="3" t="s">
        <v>42</v>
      </c>
      <c r="K18" s="3" t="s">
        <v>43</v>
      </c>
      <c r="L18" s="3" t="s">
        <v>61</v>
      </c>
      <c r="M18" s="3" t="s">
        <v>62</v>
      </c>
      <c r="N18" s="3" t="s">
        <v>63</v>
      </c>
      <c r="O18" s="3" t="s">
        <v>64</v>
      </c>
      <c r="P18" s="3" t="s">
        <v>48</v>
      </c>
      <c r="Q18" s="3" t="s">
        <v>49</v>
      </c>
      <c r="R18" s="3" t="s">
        <v>50</v>
      </c>
      <c r="S18" s="3" t="s">
        <v>65</v>
      </c>
      <c r="T18" s="3" t="s">
        <v>66</v>
      </c>
      <c r="U18" s="3" t="s">
        <v>67</v>
      </c>
      <c r="V18" s="3" t="s">
        <v>81</v>
      </c>
      <c r="W18" s="4">
        <v>45971</v>
      </c>
      <c r="X18" s="5" t="s">
        <v>55</v>
      </c>
      <c r="Y18" s="3" t="s">
        <v>56</v>
      </c>
      <c r="Z18" s="3" t="s">
        <v>57</v>
      </c>
      <c r="AA18" s="3" t="s">
        <v>58</v>
      </c>
      <c r="AB18" s="6">
        <v>13902.11</v>
      </c>
      <c r="AC18" s="7">
        <v>0</v>
      </c>
      <c r="AD18" s="6">
        <v>13902.11</v>
      </c>
      <c r="AE18" s="8"/>
      <c r="AF18" s="8"/>
      <c r="AG18" s="3" t="s">
        <v>59</v>
      </c>
      <c r="AH18" s="3" t="s">
        <v>60</v>
      </c>
    </row>
    <row r="19" spans="1:34" s="1" customFormat="1" ht="19.2" customHeight="1" x14ac:dyDescent="0.2">
      <c r="A19" s="9" t="s">
        <v>34</v>
      </c>
      <c r="B19" s="9" t="s">
        <v>35</v>
      </c>
      <c r="C19" s="9" t="s">
        <v>36</v>
      </c>
      <c r="D19" s="9" t="s">
        <v>37</v>
      </c>
      <c r="E19" s="9" t="s">
        <v>38</v>
      </c>
      <c r="F19" s="9" t="s">
        <v>37</v>
      </c>
      <c r="G19" s="9" t="s">
        <v>39</v>
      </c>
      <c r="H19" s="9" t="s">
        <v>40</v>
      </c>
      <c r="I19" s="9" t="s">
        <v>41</v>
      </c>
      <c r="J19" s="9" t="s">
        <v>42</v>
      </c>
      <c r="K19" s="9" t="s">
        <v>43</v>
      </c>
      <c r="L19" s="9" t="s">
        <v>61</v>
      </c>
      <c r="M19" s="9" t="s">
        <v>62</v>
      </c>
      <c r="N19" s="9" t="s">
        <v>63</v>
      </c>
      <c r="O19" s="9" t="s">
        <v>64</v>
      </c>
      <c r="P19" s="9" t="s">
        <v>48</v>
      </c>
      <c r="Q19" s="9" t="s">
        <v>49</v>
      </c>
      <c r="R19" s="9" t="s">
        <v>50</v>
      </c>
      <c r="S19" s="9" t="s">
        <v>65</v>
      </c>
      <c r="T19" s="9" t="s">
        <v>66</v>
      </c>
      <c r="U19" s="9" t="s">
        <v>67</v>
      </c>
      <c r="V19" s="9" t="s">
        <v>82</v>
      </c>
      <c r="W19" s="10">
        <v>45971</v>
      </c>
      <c r="X19" s="11" t="s">
        <v>55</v>
      </c>
      <c r="Y19" s="9" t="s">
        <v>56</v>
      </c>
      <c r="Z19" s="9" t="s">
        <v>57</v>
      </c>
      <c r="AA19" s="9" t="s">
        <v>58</v>
      </c>
      <c r="AB19" s="12">
        <v>13902.12</v>
      </c>
      <c r="AC19" s="13">
        <v>0</v>
      </c>
      <c r="AD19" s="12">
        <v>13902.12</v>
      </c>
      <c r="AE19" s="14"/>
      <c r="AF19" s="14"/>
      <c r="AG19" s="9" t="s">
        <v>59</v>
      </c>
      <c r="AH19" s="9" t="s">
        <v>60</v>
      </c>
    </row>
    <row r="20" spans="1:34" s="1" customFormat="1" ht="19.2" customHeight="1" x14ac:dyDescent="0.2">
      <c r="A20" s="3" t="s">
        <v>34</v>
      </c>
      <c r="B20" s="3" t="s">
        <v>35</v>
      </c>
      <c r="C20" s="3" t="s">
        <v>36</v>
      </c>
      <c r="D20" s="3" t="s">
        <v>37</v>
      </c>
      <c r="E20" s="3" t="s">
        <v>38</v>
      </c>
      <c r="F20" s="3" t="s">
        <v>37</v>
      </c>
      <c r="G20" s="3" t="s">
        <v>39</v>
      </c>
      <c r="H20" s="3" t="s">
        <v>40</v>
      </c>
      <c r="I20" s="3" t="s">
        <v>41</v>
      </c>
      <c r="J20" s="3" t="s">
        <v>42</v>
      </c>
      <c r="K20" s="3" t="s">
        <v>43</v>
      </c>
      <c r="L20" s="3" t="s">
        <v>61</v>
      </c>
      <c r="M20" s="3" t="s">
        <v>62</v>
      </c>
      <c r="N20" s="3" t="s">
        <v>63</v>
      </c>
      <c r="O20" s="3" t="s">
        <v>64</v>
      </c>
      <c r="P20" s="3" t="s">
        <v>48</v>
      </c>
      <c r="Q20" s="3" t="s">
        <v>49</v>
      </c>
      <c r="R20" s="3" t="s">
        <v>50</v>
      </c>
      <c r="S20" s="3" t="s">
        <v>65</v>
      </c>
      <c r="T20" s="3" t="s">
        <v>66</v>
      </c>
      <c r="U20" s="3" t="s">
        <v>67</v>
      </c>
      <c r="V20" s="3" t="s">
        <v>83</v>
      </c>
      <c r="W20" s="4">
        <v>45971</v>
      </c>
      <c r="X20" s="5" t="s">
        <v>55</v>
      </c>
      <c r="Y20" s="3" t="s">
        <v>56</v>
      </c>
      <c r="Z20" s="3" t="s">
        <v>57</v>
      </c>
      <c r="AA20" s="3" t="s">
        <v>58</v>
      </c>
      <c r="AB20" s="6">
        <v>13902.12</v>
      </c>
      <c r="AC20" s="7">
        <v>0</v>
      </c>
      <c r="AD20" s="6">
        <v>13902.12</v>
      </c>
      <c r="AE20" s="8"/>
      <c r="AF20" s="8"/>
      <c r="AG20" s="3" t="s">
        <v>59</v>
      </c>
      <c r="AH20" s="3" t="s">
        <v>60</v>
      </c>
    </row>
    <row r="21" spans="1:34" s="1" customFormat="1" ht="19.2" customHeight="1" x14ac:dyDescent="0.2">
      <c r="A21" s="9" t="s">
        <v>34</v>
      </c>
      <c r="B21" s="9" t="s">
        <v>35</v>
      </c>
      <c r="C21" s="9" t="s">
        <v>36</v>
      </c>
      <c r="D21" s="9" t="s">
        <v>37</v>
      </c>
      <c r="E21" s="9" t="s">
        <v>38</v>
      </c>
      <c r="F21" s="9" t="s">
        <v>37</v>
      </c>
      <c r="G21" s="9" t="s">
        <v>39</v>
      </c>
      <c r="H21" s="9" t="s">
        <v>40</v>
      </c>
      <c r="I21" s="9" t="s">
        <v>41</v>
      </c>
      <c r="J21" s="9" t="s">
        <v>42</v>
      </c>
      <c r="K21" s="9" t="s">
        <v>43</v>
      </c>
      <c r="L21" s="9" t="s">
        <v>61</v>
      </c>
      <c r="M21" s="9" t="s">
        <v>62</v>
      </c>
      <c r="N21" s="9" t="s">
        <v>63</v>
      </c>
      <c r="O21" s="9" t="s">
        <v>64</v>
      </c>
      <c r="P21" s="9" t="s">
        <v>48</v>
      </c>
      <c r="Q21" s="9" t="s">
        <v>49</v>
      </c>
      <c r="R21" s="9" t="s">
        <v>50</v>
      </c>
      <c r="S21" s="9" t="s">
        <v>65</v>
      </c>
      <c r="T21" s="9" t="s">
        <v>66</v>
      </c>
      <c r="U21" s="9" t="s">
        <v>67</v>
      </c>
      <c r="V21" s="9" t="s">
        <v>84</v>
      </c>
      <c r="W21" s="10">
        <v>45971</v>
      </c>
      <c r="X21" s="11" t="s">
        <v>55</v>
      </c>
      <c r="Y21" s="9" t="s">
        <v>56</v>
      </c>
      <c r="Z21" s="9" t="s">
        <v>57</v>
      </c>
      <c r="AA21" s="9" t="s">
        <v>58</v>
      </c>
      <c r="AB21" s="12">
        <v>13902.11</v>
      </c>
      <c r="AC21" s="13">
        <v>0</v>
      </c>
      <c r="AD21" s="12">
        <v>13902.11</v>
      </c>
      <c r="AE21" s="14"/>
      <c r="AF21" s="14"/>
      <c r="AG21" s="9" t="s">
        <v>59</v>
      </c>
      <c r="AH21" s="9" t="s">
        <v>60</v>
      </c>
    </row>
    <row r="22" spans="1:34" s="1" customFormat="1" ht="19.2" customHeight="1" x14ac:dyDescent="0.2">
      <c r="A22" s="3" t="s">
        <v>34</v>
      </c>
      <c r="B22" s="3" t="s">
        <v>35</v>
      </c>
      <c r="C22" s="3" t="s">
        <v>36</v>
      </c>
      <c r="D22" s="3" t="s">
        <v>37</v>
      </c>
      <c r="E22" s="3" t="s">
        <v>38</v>
      </c>
      <c r="F22" s="3" t="s">
        <v>37</v>
      </c>
      <c r="G22" s="3" t="s">
        <v>39</v>
      </c>
      <c r="H22" s="3" t="s">
        <v>40</v>
      </c>
      <c r="I22" s="3" t="s">
        <v>41</v>
      </c>
      <c r="J22" s="3" t="s">
        <v>42</v>
      </c>
      <c r="K22" s="3" t="s">
        <v>43</v>
      </c>
      <c r="L22" s="3" t="s">
        <v>61</v>
      </c>
      <c r="M22" s="3" t="s">
        <v>62</v>
      </c>
      <c r="N22" s="3" t="s">
        <v>63</v>
      </c>
      <c r="O22" s="3" t="s">
        <v>64</v>
      </c>
      <c r="P22" s="3" t="s">
        <v>48</v>
      </c>
      <c r="Q22" s="3" t="s">
        <v>49</v>
      </c>
      <c r="R22" s="3" t="s">
        <v>50</v>
      </c>
      <c r="S22" s="3" t="s">
        <v>65</v>
      </c>
      <c r="T22" s="3" t="s">
        <v>66</v>
      </c>
      <c r="U22" s="3" t="s">
        <v>67</v>
      </c>
      <c r="V22" s="3" t="s">
        <v>85</v>
      </c>
      <c r="W22" s="4">
        <v>45971</v>
      </c>
      <c r="X22" s="5" t="s">
        <v>55</v>
      </c>
      <c r="Y22" s="3" t="s">
        <v>56</v>
      </c>
      <c r="Z22" s="3" t="s">
        <v>57</v>
      </c>
      <c r="AA22" s="3" t="s">
        <v>58</v>
      </c>
      <c r="AB22" s="6">
        <v>13902.12</v>
      </c>
      <c r="AC22" s="7">
        <v>0</v>
      </c>
      <c r="AD22" s="6">
        <v>13902.12</v>
      </c>
      <c r="AE22" s="8"/>
      <c r="AF22" s="8"/>
      <c r="AG22" s="3" t="s">
        <v>59</v>
      </c>
      <c r="AH22" s="3" t="s">
        <v>60</v>
      </c>
    </row>
    <row r="23" spans="1:34" s="1" customFormat="1" ht="19.2" customHeight="1" x14ac:dyDescent="0.2">
      <c r="A23" s="9" t="s">
        <v>34</v>
      </c>
      <c r="B23" s="9" t="s">
        <v>35</v>
      </c>
      <c r="C23" s="9" t="s">
        <v>36</v>
      </c>
      <c r="D23" s="9" t="s">
        <v>37</v>
      </c>
      <c r="E23" s="9" t="s">
        <v>38</v>
      </c>
      <c r="F23" s="9" t="s">
        <v>37</v>
      </c>
      <c r="G23" s="9" t="s">
        <v>39</v>
      </c>
      <c r="H23" s="9" t="s">
        <v>40</v>
      </c>
      <c r="I23" s="9" t="s">
        <v>41</v>
      </c>
      <c r="J23" s="9" t="s">
        <v>42</v>
      </c>
      <c r="K23" s="9" t="s">
        <v>43</v>
      </c>
      <c r="L23" s="9" t="s">
        <v>61</v>
      </c>
      <c r="M23" s="9" t="s">
        <v>62</v>
      </c>
      <c r="N23" s="9" t="s">
        <v>63</v>
      </c>
      <c r="O23" s="9" t="s">
        <v>64</v>
      </c>
      <c r="P23" s="9" t="s">
        <v>48</v>
      </c>
      <c r="Q23" s="9" t="s">
        <v>49</v>
      </c>
      <c r="R23" s="9" t="s">
        <v>50</v>
      </c>
      <c r="S23" s="9" t="s">
        <v>65</v>
      </c>
      <c r="T23" s="9" t="s">
        <v>66</v>
      </c>
      <c r="U23" s="9" t="s">
        <v>67</v>
      </c>
      <c r="V23" s="9" t="s">
        <v>86</v>
      </c>
      <c r="W23" s="10">
        <v>45971</v>
      </c>
      <c r="X23" s="11" t="s">
        <v>55</v>
      </c>
      <c r="Y23" s="9" t="s">
        <v>56</v>
      </c>
      <c r="Z23" s="9" t="s">
        <v>57</v>
      </c>
      <c r="AA23" s="9" t="s">
        <v>58</v>
      </c>
      <c r="AB23" s="12">
        <v>13902.11</v>
      </c>
      <c r="AC23" s="13">
        <v>0</v>
      </c>
      <c r="AD23" s="12">
        <v>13902.11</v>
      </c>
      <c r="AE23" s="14"/>
      <c r="AF23" s="14"/>
      <c r="AG23" s="9" t="s">
        <v>59</v>
      </c>
      <c r="AH23" s="9" t="s">
        <v>60</v>
      </c>
    </row>
    <row r="24" spans="1:34" s="1" customFormat="1" ht="19.2" customHeight="1" x14ac:dyDescent="0.2">
      <c r="A24" s="3" t="s">
        <v>34</v>
      </c>
      <c r="B24" s="3" t="s">
        <v>35</v>
      </c>
      <c r="C24" s="3" t="s">
        <v>36</v>
      </c>
      <c r="D24" s="3" t="s">
        <v>37</v>
      </c>
      <c r="E24" s="3" t="s">
        <v>38</v>
      </c>
      <c r="F24" s="3" t="s">
        <v>37</v>
      </c>
      <c r="G24" s="3" t="s">
        <v>39</v>
      </c>
      <c r="H24" s="3" t="s">
        <v>40</v>
      </c>
      <c r="I24" s="3" t="s">
        <v>41</v>
      </c>
      <c r="J24" s="3" t="s">
        <v>42</v>
      </c>
      <c r="K24" s="3" t="s">
        <v>43</v>
      </c>
      <c r="L24" s="3" t="s">
        <v>61</v>
      </c>
      <c r="M24" s="3" t="s">
        <v>62</v>
      </c>
      <c r="N24" s="3" t="s">
        <v>63</v>
      </c>
      <c r="O24" s="3" t="s">
        <v>64</v>
      </c>
      <c r="P24" s="3" t="s">
        <v>48</v>
      </c>
      <c r="Q24" s="3" t="s">
        <v>49</v>
      </c>
      <c r="R24" s="3" t="s">
        <v>50</v>
      </c>
      <c r="S24" s="3" t="s">
        <v>65</v>
      </c>
      <c r="T24" s="3" t="s">
        <v>66</v>
      </c>
      <c r="U24" s="3" t="s">
        <v>67</v>
      </c>
      <c r="V24" s="3" t="s">
        <v>87</v>
      </c>
      <c r="W24" s="4">
        <v>45971</v>
      </c>
      <c r="X24" s="5" t="s">
        <v>55</v>
      </c>
      <c r="Y24" s="3" t="s">
        <v>56</v>
      </c>
      <c r="Z24" s="3" t="s">
        <v>57</v>
      </c>
      <c r="AA24" s="3" t="s">
        <v>58</v>
      </c>
      <c r="AB24" s="6">
        <v>13902.12</v>
      </c>
      <c r="AC24" s="7">
        <v>0</v>
      </c>
      <c r="AD24" s="6">
        <v>13902.12</v>
      </c>
      <c r="AE24" s="8"/>
      <c r="AF24" s="8"/>
      <c r="AG24" s="3" t="s">
        <v>59</v>
      </c>
      <c r="AH24" s="3" t="s">
        <v>60</v>
      </c>
    </row>
    <row r="25" spans="1:34" s="1" customFormat="1" ht="19.2" customHeight="1" x14ac:dyDescent="0.2">
      <c r="A25" s="9" t="s">
        <v>34</v>
      </c>
      <c r="B25" s="9" t="s">
        <v>35</v>
      </c>
      <c r="C25" s="9" t="s">
        <v>36</v>
      </c>
      <c r="D25" s="9" t="s">
        <v>37</v>
      </c>
      <c r="E25" s="9" t="s">
        <v>38</v>
      </c>
      <c r="F25" s="9" t="s">
        <v>37</v>
      </c>
      <c r="G25" s="9" t="s">
        <v>39</v>
      </c>
      <c r="H25" s="9" t="s">
        <v>40</v>
      </c>
      <c r="I25" s="9" t="s">
        <v>88</v>
      </c>
      <c r="J25" s="9" t="s">
        <v>42</v>
      </c>
      <c r="K25" s="9" t="s">
        <v>43</v>
      </c>
      <c r="L25" s="9" t="s">
        <v>44</v>
      </c>
      <c r="M25" s="9" t="s">
        <v>45</v>
      </c>
      <c r="N25" s="9" t="s">
        <v>46</v>
      </c>
      <c r="O25" s="9" t="s">
        <v>47</v>
      </c>
      <c r="P25" s="9" t="s">
        <v>48</v>
      </c>
      <c r="Q25" s="9" t="s">
        <v>49</v>
      </c>
      <c r="R25" s="9" t="s">
        <v>50</v>
      </c>
      <c r="S25" s="9" t="s">
        <v>51</v>
      </c>
      <c r="T25" s="9" t="s">
        <v>52</v>
      </c>
      <c r="U25" s="9" t="s">
        <v>53</v>
      </c>
      <c r="V25" s="9" t="s">
        <v>89</v>
      </c>
      <c r="W25" s="10">
        <v>45972</v>
      </c>
      <c r="X25" s="11" t="s">
        <v>90</v>
      </c>
      <c r="Y25" s="9" t="s">
        <v>56</v>
      </c>
      <c r="Z25" s="9" t="s">
        <v>57</v>
      </c>
      <c r="AA25" s="9" t="s">
        <v>58</v>
      </c>
      <c r="AB25" s="12">
        <v>322.62</v>
      </c>
      <c r="AC25" s="13">
        <v>0</v>
      </c>
      <c r="AD25" s="12">
        <v>2580.96</v>
      </c>
      <c r="AE25" s="14"/>
      <c r="AF25" s="14"/>
      <c r="AG25" s="9" t="s">
        <v>59</v>
      </c>
      <c r="AH25" s="9" t="s">
        <v>60</v>
      </c>
    </row>
    <row r="26" spans="1:34" s="1" customFormat="1" ht="19.2" customHeight="1" x14ac:dyDescent="0.2">
      <c r="A26" s="3" t="s">
        <v>34</v>
      </c>
      <c r="B26" s="3" t="s">
        <v>35</v>
      </c>
      <c r="C26" s="3" t="s">
        <v>36</v>
      </c>
      <c r="D26" s="3" t="s">
        <v>37</v>
      </c>
      <c r="E26" s="3" t="s">
        <v>38</v>
      </c>
      <c r="F26" s="3" t="s">
        <v>37</v>
      </c>
      <c r="G26" s="3" t="s">
        <v>39</v>
      </c>
      <c r="H26" s="3" t="s">
        <v>40</v>
      </c>
      <c r="I26" s="3" t="s">
        <v>88</v>
      </c>
      <c r="J26" s="3" t="s">
        <v>42</v>
      </c>
      <c r="K26" s="3" t="s">
        <v>43</v>
      </c>
      <c r="L26" s="3" t="s">
        <v>61</v>
      </c>
      <c r="M26" s="3" t="s">
        <v>91</v>
      </c>
      <c r="N26" s="3" t="s">
        <v>92</v>
      </c>
      <c r="O26" s="3" t="s">
        <v>93</v>
      </c>
      <c r="P26" s="3" t="s">
        <v>48</v>
      </c>
      <c r="Q26" s="3" t="s">
        <v>49</v>
      </c>
      <c r="R26" s="3" t="s">
        <v>50</v>
      </c>
      <c r="S26" s="3" t="s">
        <v>65</v>
      </c>
      <c r="T26" s="3" t="s">
        <v>94</v>
      </c>
      <c r="U26" s="3" t="s">
        <v>95</v>
      </c>
      <c r="V26" s="3" t="s">
        <v>96</v>
      </c>
      <c r="W26" s="4">
        <v>45972</v>
      </c>
      <c r="X26" s="5" t="s">
        <v>90</v>
      </c>
      <c r="Y26" s="3" t="s">
        <v>56</v>
      </c>
      <c r="Z26" s="3" t="s">
        <v>57</v>
      </c>
      <c r="AA26" s="3" t="s">
        <v>58</v>
      </c>
      <c r="AB26" s="6">
        <v>11087.38</v>
      </c>
      <c r="AC26" s="7">
        <v>0</v>
      </c>
      <c r="AD26" s="6">
        <v>11087.38</v>
      </c>
      <c r="AE26" s="8"/>
      <c r="AF26" s="8"/>
      <c r="AG26" s="3" t="s">
        <v>59</v>
      </c>
      <c r="AH26" s="3" t="s">
        <v>60</v>
      </c>
    </row>
    <row r="27" spans="1:34" s="1" customFormat="1" ht="19.2" customHeight="1" x14ac:dyDescent="0.2">
      <c r="A27" s="9" t="s">
        <v>34</v>
      </c>
      <c r="B27" s="9" t="s">
        <v>35</v>
      </c>
      <c r="C27" s="9" t="s">
        <v>36</v>
      </c>
      <c r="D27" s="9" t="s">
        <v>37</v>
      </c>
      <c r="E27" s="9" t="s">
        <v>38</v>
      </c>
      <c r="F27" s="9" t="s">
        <v>37</v>
      </c>
      <c r="G27" s="9" t="s">
        <v>39</v>
      </c>
      <c r="H27" s="9" t="s">
        <v>40</v>
      </c>
      <c r="I27" s="9" t="s">
        <v>88</v>
      </c>
      <c r="J27" s="9" t="s">
        <v>42</v>
      </c>
      <c r="K27" s="9" t="s">
        <v>43</v>
      </c>
      <c r="L27" s="9" t="s">
        <v>61</v>
      </c>
      <c r="M27" s="9" t="s">
        <v>91</v>
      </c>
      <c r="N27" s="9" t="s">
        <v>92</v>
      </c>
      <c r="O27" s="9" t="s">
        <v>93</v>
      </c>
      <c r="P27" s="9" t="s">
        <v>48</v>
      </c>
      <c r="Q27" s="9" t="s">
        <v>49</v>
      </c>
      <c r="R27" s="9" t="s">
        <v>50</v>
      </c>
      <c r="S27" s="9" t="s">
        <v>65</v>
      </c>
      <c r="T27" s="9" t="s">
        <v>94</v>
      </c>
      <c r="U27" s="9" t="s">
        <v>95</v>
      </c>
      <c r="V27" s="9" t="s">
        <v>97</v>
      </c>
      <c r="W27" s="10">
        <v>45972</v>
      </c>
      <c r="X27" s="11" t="s">
        <v>90</v>
      </c>
      <c r="Y27" s="9" t="s">
        <v>56</v>
      </c>
      <c r="Z27" s="9" t="s">
        <v>57</v>
      </c>
      <c r="AA27" s="9" t="s">
        <v>58</v>
      </c>
      <c r="AB27" s="12">
        <v>11087.38</v>
      </c>
      <c r="AC27" s="13">
        <v>0</v>
      </c>
      <c r="AD27" s="12">
        <v>11087.38</v>
      </c>
      <c r="AE27" s="14"/>
      <c r="AF27" s="14"/>
      <c r="AG27" s="9" t="s">
        <v>59</v>
      </c>
      <c r="AH27" s="9" t="s">
        <v>60</v>
      </c>
    </row>
    <row r="28" spans="1:34" s="1" customFormat="1" ht="19.2" customHeight="1" x14ac:dyDescent="0.2">
      <c r="A28" s="3" t="s">
        <v>34</v>
      </c>
      <c r="B28" s="3" t="s">
        <v>35</v>
      </c>
      <c r="C28" s="3" t="s">
        <v>36</v>
      </c>
      <c r="D28" s="3" t="s">
        <v>37</v>
      </c>
      <c r="E28" s="3" t="s">
        <v>38</v>
      </c>
      <c r="F28" s="3" t="s">
        <v>37</v>
      </c>
      <c r="G28" s="3" t="s">
        <v>39</v>
      </c>
      <c r="H28" s="3" t="s">
        <v>40</v>
      </c>
      <c r="I28" s="3" t="s">
        <v>88</v>
      </c>
      <c r="J28" s="3" t="s">
        <v>42</v>
      </c>
      <c r="K28" s="3" t="s">
        <v>43</v>
      </c>
      <c r="L28" s="3" t="s">
        <v>61</v>
      </c>
      <c r="M28" s="3" t="s">
        <v>91</v>
      </c>
      <c r="N28" s="3" t="s">
        <v>92</v>
      </c>
      <c r="O28" s="3" t="s">
        <v>93</v>
      </c>
      <c r="P28" s="3" t="s">
        <v>48</v>
      </c>
      <c r="Q28" s="3" t="s">
        <v>49</v>
      </c>
      <c r="R28" s="3" t="s">
        <v>50</v>
      </c>
      <c r="S28" s="3" t="s">
        <v>65</v>
      </c>
      <c r="T28" s="3" t="s">
        <v>94</v>
      </c>
      <c r="U28" s="3" t="s">
        <v>95</v>
      </c>
      <c r="V28" s="3" t="s">
        <v>98</v>
      </c>
      <c r="W28" s="4">
        <v>45972</v>
      </c>
      <c r="X28" s="5" t="s">
        <v>90</v>
      </c>
      <c r="Y28" s="3" t="s">
        <v>56</v>
      </c>
      <c r="Z28" s="3" t="s">
        <v>57</v>
      </c>
      <c r="AA28" s="3" t="s">
        <v>58</v>
      </c>
      <c r="AB28" s="6">
        <v>11087.38</v>
      </c>
      <c r="AC28" s="7">
        <v>0</v>
      </c>
      <c r="AD28" s="6">
        <v>11087.38</v>
      </c>
      <c r="AE28" s="8"/>
      <c r="AF28" s="8"/>
      <c r="AG28" s="3" t="s">
        <v>59</v>
      </c>
      <c r="AH28" s="3" t="s">
        <v>60</v>
      </c>
    </row>
    <row r="29" spans="1:34" s="1" customFormat="1" ht="19.2" customHeight="1" x14ac:dyDescent="0.2">
      <c r="A29" s="9" t="s">
        <v>34</v>
      </c>
      <c r="B29" s="9" t="s">
        <v>35</v>
      </c>
      <c r="C29" s="9" t="s">
        <v>36</v>
      </c>
      <c r="D29" s="9" t="s">
        <v>37</v>
      </c>
      <c r="E29" s="9" t="s">
        <v>38</v>
      </c>
      <c r="F29" s="9" t="s">
        <v>37</v>
      </c>
      <c r="G29" s="9" t="s">
        <v>39</v>
      </c>
      <c r="H29" s="9" t="s">
        <v>40</v>
      </c>
      <c r="I29" s="9" t="s">
        <v>88</v>
      </c>
      <c r="J29" s="9" t="s">
        <v>42</v>
      </c>
      <c r="K29" s="9" t="s">
        <v>43</v>
      </c>
      <c r="L29" s="9" t="s">
        <v>61</v>
      </c>
      <c r="M29" s="9" t="s">
        <v>91</v>
      </c>
      <c r="N29" s="9" t="s">
        <v>92</v>
      </c>
      <c r="O29" s="9" t="s">
        <v>93</v>
      </c>
      <c r="P29" s="9" t="s">
        <v>48</v>
      </c>
      <c r="Q29" s="9" t="s">
        <v>49</v>
      </c>
      <c r="R29" s="9" t="s">
        <v>50</v>
      </c>
      <c r="S29" s="9" t="s">
        <v>65</v>
      </c>
      <c r="T29" s="9" t="s">
        <v>94</v>
      </c>
      <c r="U29" s="9" t="s">
        <v>95</v>
      </c>
      <c r="V29" s="9" t="s">
        <v>99</v>
      </c>
      <c r="W29" s="10">
        <v>45972</v>
      </c>
      <c r="X29" s="11" t="s">
        <v>90</v>
      </c>
      <c r="Y29" s="9" t="s">
        <v>56</v>
      </c>
      <c r="Z29" s="9" t="s">
        <v>57</v>
      </c>
      <c r="AA29" s="9" t="s">
        <v>58</v>
      </c>
      <c r="AB29" s="12">
        <v>11087.38</v>
      </c>
      <c r="AC29" s="13">
        <v>0</v>
      </c>
      <c r="AD29" s="12">
        <v>11087.38</v>
      </c>
      <c r="AE29" s="14"/>
      <c r="AF29" s="14"/>
      <c r="AG29" s="9" t="s">
        <v>59</v>
      </c>
      <c r="AH29" s="9" t="s">
        <v>60</v>
      </c>
    </row>
    <row r="30" spans="1:34" s="1" customFormat="1" ht="19.2" customHeight="1" x14ac:dyDescent="0.2">
      <c r="A30" s="3" t="s">
        <v>34</v>
      </c>
      <c r="B30" s="3" t="s">
        <v>35</v>
      </c>
      <c r="C30" s="3" t="s">
        <v>36</v>
      </c>
      <c r="D30" s="3" t="s">
        <v>37</v>
      </c>
      <c r="E30" s="3" t="s">
        <v>38</v>
      </c>
      <c r="F30" s="3" t="s">
        <v>37</v>
      </c>
      <c r="G30" s="3" t="s">
        <v>39</v>
      </c>
      <c r="H30" s="3" t="s">
        <v>40</v>
      </c>
      <c r="I30" s="3" t="s">
        <v>88</v>
      </c>
      <c r="J30" s="3" t="s">
        <v>42</v>
      </c>
      <c r="K30" s="3" t="s">
        <v>43</v>
      </c>
      <c r="L30" s="3" t="s">
        <v>61</v>
      </c>
      <c r="M30" s="3" t="s">
        <v>91</v>
      </c>
      <c r="N30" s="3" t="s">
        <v>92</v>
      </c>
      <c r="O30" s="3" t="s">
        <v>93</v>
      </c>
      <c r="P30" s="3" t="s">
        <v>48</v>
      </c>
      <c r="Q30" s="3" t="s">
        <v>49</v>
      </c>
      <c r="R30" s="3" t="s">
        <v>50</v>
      </c>
      <c r="S30" s="3" t="s">
        <v>65</v>
      </c>
      <c r="T30" s="3" t="s">
        <v>94</v>
      </c>
      <c r="U30" s="3" t="s">
        <v>95</v>
      </c>
      <c r="V30" s="3" t="s">
        <v>100</v>
      </c>
      <c r="W30" s="4">
        <v>45972</v>
      </c>
      <c r="X30" s="5" t="s">
        <v>90</v>
      </c>
      <c r="Y30" s="3" t="s">
        <v>56</v>
      </c>
      <c r="Z30" s="3" t="s">
        <v>57</v>
      </c>
      <c r="AA30" s="3" t="s">
        <v>58</v>
      </c>
      <c r="AB30" s="6">
        <v>11087.38</v>
      </c>
      <c r="AC30" s="7">
        <v>0</v>
      </c>
      <c r="AD30" s="6">
        <v>11087.38</v>
      </c>
      <c r="AE30" s="8"/>
      <c r="AF30" s="8"/>
      <c r="AG30" s="3" t="s">
        <v>59</v>
      </c>
      <c r="AH30" s="3" t="s">
        <v>60</v>
      </c>
    </row>
    <row r="31" spans="1:34" s="1" customFormat="1" ht="19.2" customHeight="1" x14ac:dyDescent="0.2">
      <c r="A31" s="9" t="s">
        <v>34</v>
      </c>
      <c r="B31" s="9" t="s">
        <v>35</v>
      </c>
      <c r="C31" s="9" t="s">
        <v>36</v>
      </c>
      <c r="D31" s="9" t="s">
        <v>37</v>
      </c>
      <c r="E31" s="9" t="s">
        <v>38</v>
      </c>
      <c r="F31" s="9" t="s">
        <v>37</v>
      </c>
      <c r="G31" s="9" t="s">
        <v>39</v>
      </c>
      <c r="H31" s="9" t="s">
        <v>40</v>
      </c>
      <c r="I31" s="9" t="s">
        <v>88</v>
      </c>
      <c r="J31" s="9" t="s">
        <v>42</v>
      </c>
      <c r="K31" s="9" t="s">
        <v>43</v>
      </c>
      <c r="L31" s="9" t="s">
        <v>61</v>
      </c>
      <c r="M31" s="9" t="s">
        <v>91</v>
      </c>
      <c r="N31" s="9" t="s">
        <v>92</v>
      </c>
      <c r="O31" s="9" t="s">
        <v>93</v>
      </c>
      <c r="P31" s="9" t="s">
        <v>48</v>
      </c>
      <c r="Q31" s="9" t="s">
        <v>49</v>
      </c>
      <c r="R31" s="9" t="s">
        <v>50</v>
      </c>
      <c r="S31" s="9" t="s">
        <v>65</v>
      </c>
      <c r="T31" s="9" t="s">
        <v>94</v>
      </c>
      <c r="U31" s="9" t="s">
        <v>95</v>
      </c>
      <c r="V31" s="9" t="s">
        <v>101</v>
      </c>
      <c r="W31" s="10">
        <v>45972</v>
      </c>
      <c r="X31" s="11" t="s">
        <v>90</v>
      </c>
      <c r="Y31" s="9" t="s">
        <v>56</v>
      </c>
      <c r="Z31" s="9" t="s">
        <v>57</v>
      </c>
      <c r="AA31" s="9" t="s">
        <v>58</v>
      </c>
      <c r="AB31" s="12">
        <v>11087.38</v>
      </c>
      <c r="AC31" s="13">
        <v>0</v>
      </c>
      <c r="AD31" s="12">
        <v>11087.38</v>
      </c>
      <c r="AE31" s="14"/>
      <c r="AF31" s="14"/>
      <c r="AG31" s="9" t="s">
        <v>59</v>
      </c>
      <c r="AH31" s="9" t="s">
        <v>60</v>
      </c>
    </row>
    <row r="32" spans="1:34" s="1" customFormat="1" ht="19.2" customHeight="1" x14ac:dyDescent="0.2">
      <c r="A32" s="3" t="s">
        <v>34</v>
      </c>
      <c r="B32" s="3" t="s">
        <v>35</v>
      </c>
      <c r="C32" s="3" t="s">
        <v>36</v>
      </c>
      <c r="D32" s="3" t="s">
        <v>37</v>
      </c>
      <c r="E32" s="3" t="s">
        <v>38</v>
      </c>
      <c r="F32" s="3" t="s">
        <v>37</v>
      </c>
      <c r="G32" s="3" t="s">
        <v>39</v>
      </c>
      <c r="H32" s="3" t="s">
        <v>40</v>
      </c>
      <c r="I32" s="3" t="s">
        <v>88</v>
      </c>
      <c r="J32" s="3" t="s">
        <v>42</v>
      </c>
      <c r="K32" s="3" t="s">
        <v>43</v>
      </c>
      <c r="L32" s="3" t="s">
        <v>61</v>
      </c>
      <c r="M32" s="3" t="s">
        <v>91</v>
      </c>
      <c r="N32" s="3" t="s">
        <v>92</v>
      </c>
      <c r="O32" s="3" t="s">
        <v>93</v>
      </c>
      <c r="P32" s="3" t="s">
        <v>48</v>
      </c>
      <c r="Q32" s="3" t="s">
        <v>49</v>
      </c>
      <c r="R32" s="3" t="s">
        <v>50</v>
      </c>
      <c r="S32" s="3" t="s">
        <v>65</v>
      </c>
      <c r="T32" s="3" t="s">
        <v>94</v>
      </c>
      <c r="U32" s="3" t="s">
        <v>95</v>
      </c>
      <c r="V32" s="3" t="s">
        <v>102</v>
      </c>
      <c r="W32" s="4">
        <v>45972</v>
      </c>
      <c r="X32" s="5" t="s">
        <v>90</v>
      </c>
      <c r="Y32" s="3" t="s">
        <v>56</v>
      </c>
      <c r="Z32" s="3" t="s">
        <v>57</v>
      </c>
      <c r="AA32" s="3" t="s">
        <v>58</v>
      </c>
      <c r="AB32" s="6">
        <v>11087.38</v>
      </c>
      <c r="AC32" s="7">
        <v>0</v>
      </c>
      <c r="AD32" s="6">
        <v>11087.38</v>
      </c>
      <c r="AE32" s="8"/>
      <c r="AF32" s="8"/>
      <c r="AG32" s="3" t="s">
        <v>59</v>
      </c>
      <c r="AH32" s="3" t="s">
        <v>60</v>
      </c>
    </row>
    <row r="33" spans="1:34" s="1" customFormat="1" ht="19.2" customHeight="1" x14ac:dyDescent="0.2">
      <c r="A33" s="9" t="s">
        <v>34</v>
      </c>
      <c r="B33" s="9" t="s">
        <v>35</v>
      </c>
      <c r="C33" s="9" t="s">
        <v>36</v>
      </c>
      <c r="D33" s="9" t="s">
        <v>37</v>
      </c>
      <c r="E33" s="9" t="s">
        <v>38</v>
      </c>
      <c r="F33" s="9" t="s">
        <v>37</v>
      </c>
      <c r="G33" s="9" t="s">
        <v>39</v>
      </c>
      <c r="H33" s="9" t="s">
        <v>40</v>
      </c>
      <c r="I33" s="9" t="s">
        <v>88</v>
      </c>
      <c r="J33" s="9" t="s">
        <v>42</v>
      </c>
      <c r="K33" s="9" t="s">
        <v>43</v>
      </c>
      <c r="L33" s="9" t="s">
        <v>61</v>
      </c>
      <c r="M33" s="9" t="s">
        <v>91</v>
      </c>
      <c r="N33" s="9" t="s">
        <v>92</v>
      </c>
      <c r="O33" s="9" t="s">
        <v>93</v>
      </c>
      <c r="P33" s="9" t="s">
        <v>48</v>
      </c>
      <c r="Q33" s="9" t="s">
        <v>49</v>
      </c>
      <c r="R33" s="9" t="s">
        <v>50</v>
      </c>
      <c r="S33" s="9" t="s">
        <v>65</v>
      </c>
      <c r="T33" s="9" t="s">
        <v>94</v>
      </c>
      <c r="U33" s="9" t="s">
        <v>95</v>
      </c>
      <c r="V33" s="9" t="s">
        <v>103</v>
      </c>
      <c r="W33" s="10">
        <v>45972</v>
      </c>
      <c r="X33" s="11" t="s">
        <v>90</v>
      </c>
      <c r="Y33" s="9" t="s">
        <v>56</v>
      </c>
      <c r="Z33" s="9" t="s">
        <v>57</v>
      </c>
      <c r="AA33" s="9" t="s">
        <v>58</v>
      </c>
      <c r="AB33" s="12">
        <v>11087.38</v>
      </c>
      <c r="AC33" s="13">
        <v>0</v>
      </c>
      <c r="AD33" s="12">
        <v>11087.38</v>
      </c>
      <c r="AE33" s="14"/>
      <c r="AF33" s="14"/>
      <c r="AG33" s="9" t="s">
        <v>59</v>
      </c>
      <c r="AH33" s="9" t="s">
        <v>60</v>
      </c>
    </row>
    <row r="34" spans="1:34" s="1" customFormat="1" ht="19.2" customHeight="1"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6"/>
      <c r="Y34" s="15"/>
      <c r="Z34" s="15"/>
      <c r="AA34" s="15"/>
      <c r="AB34" s="15"/>
      <c r="AC34" s="17" t="s">
        <v>104</v>
      </c>
      <c r="AD34" s="18">
        <v>375680</v>
      </c>
      <c r="AE34" s="15"/>
      <c r="AF34" s="15"/>
      <c r="AG34" s="15"/>
      <c r="AH34" s="15"/>
    </row>
    <row r="35" spans="1:34" s="1" customFormat="1" ht="20.25" customHeight="1" x14ac:dyDescent="0.2"/>
  </sheetData>
  <mergeCells count="1">
    <mergeCell ref="A1:B1"/>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RS</vt:lpstr>
      <vt:lpstr>Eligible Products</vt:lpstr>
      <vt:lpstr>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Matthew Lou</cp:lastModifiedBy>
  <dcterms:created xsi:type="dcterms:W3CDTF">2026-01-27T14:07:38Z</dcterms:created>
  <dcterms:modified xsi:type="dcterms:W3CDTF">2026-03-03T20:19:44Z</dcterms:modified>
</cp:coreProperties>
</file>