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efioreorg-my.sharepoint.com/personal/kliebmann_montefiore_org/Documents/Documents/Current Projects/Supplemental Staffing/Savings/Medical Solutions/"/>
    </mc:Choice>
  </mc:AlternateContent>
  <xr:revisionPtr revIDLastSave="5" documentId="8_{70F76BC8-590E-464A-9125-2BF42E29ECCB}" xr6:coauthVersionLast="47" xr6:coauthVersionMax="47" xr10:uidLastSave="{38D9E879-FEFB-4061-B9D9-FB17D3D4975B}"/>
  <bookViews>
    <workbookView xWindow="28680" yWindow="-120" windowWidth="29040" windowHeight="17520" activeTab="1" xr2:uid="{1A85632D-3B5D-4DD9-BB63-DB53FF51D6A1}"/>
  </bookViews>
  <sheets>
    <sheet name="Rebate Report" sheetId="1" r:id="rId1"/>
    <sheet name="Sheet1" sheetId="2" r:id="rId2"/>
  </sheets>
  <externalReferences>
    <externalReference r:id="rId3"/>
  </externalReferences>
  <definedNames>
    <definedName name="RevPerMonth">[1]Constants!$K$2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1" l="1"/>
  <c r="H93" i="1"/>
  <c r="G93" i="1"/>
  <c r="I92" i="1"/>
  <c r="H92" i="1"/>
  <c r="G92" i="1"/>
  <c r="I91" i="1"/>
  <c r="H91" i="1"/>
  <c r="J91" i="1" s="1"/>
  <c r="G91" i="1"/>
  <c r="I90" i="1"/>
  <c r="H90" i="1"/>
  <c r="G90" i="1"/>
  <c r="I89" i="1"/>
  <c r="H89" i="1"/>
  <c r="J89" i="1" s="1"/>
  <c r="G89" i="1"/>
  <c r="I88" i="1"/>
  <c r="H88" i="1"/>
  <c r="J88" i="1" s="1"/>
  <c r="G88" i="1"/>
  <c r="I87" i="1"/>
  <c r="H87" i="1"/>
  <c r="J87" i="1" s="1"/>
  <c r="G87" i="1"/>
  <c r="I86" i="1"/>
  <c r="H86" i="1"/>
  <c r="G86" i="1"/>
  <c r="I85" i="1"/>
  <c r="H85" i="1"/>
  <c r="J85" i="1" s="1"/>
  <c r="G85" i="1"/>
  <c r="I84" i="1"/>
  <c r="H84" i="1"/>
  <c r="J84" i="1" s="1"/>
  <c r="G84" i="1"/>
  <c r="I83" i="1"/>
  <c r="H83" i="1"/>
  <c r="J83" i="1" s="1"/>
  <c r="G83" i="1"/>
  <c r="I82" i="1"/>
  <c r="H82" i="1"/>
  <c r="J82" i="1" s="1"/>
  <c r="G82" i="1"/>
  <c r="I81" i="1"/>
  <c r="H81" i="1"/>
  <c r="J81" i="1" s="1"/>
  <c r="G81" i="1"/>
  <c r="I80" i="1"/>
  <c r="H80" i="1"/>
  <c r="G80" i="1"/>
  <c r="I79" i="1"/>
  <c r="H79" i="1"/>
  <c r="J79" i="1" s="1"/>
  <c r="G79" i="1"/>
  <c r="I78" i="1"/>
  <c r="H78" i="1"/>
  <c r="J78" i="1" s="1"/>
  <c r="G78" i="1"/>
  <c r="I77" i="1"/>
  <c r="H77" i="1"/>
  <c r="J77" i="1" s="1"/>
  <c r="G77" i="1"/>
  <c r="I76" i="1"/>
  <c r="H76" i="1"/>
  <c r="J76" i="1" s="1"/>
  <c r="G76" i="1"/>
  <c r="I75" i="1"/>
  <c r="H75" i="1"/>
  <c r="J75" i="1" s="1"/>
  <c r="G75" i="1"/>
  <c r="I74" i="1"/>
  <c r="H74" i="1"/>
  <c r="J74" i="1" s="1"/>
  <c r="G74" i="1"/>
  <c r="I73" i="1"/>
  <c r="H73" i="1"/>
  <c r="J73" i="1" s="1"/>
  <c r="G73" i="1"/>
  <c r="I72" i="1"/>
  <c r="H72" i="1"/>
  <c r="J72" i="1" s="1"/>
  <c r="G72" i="1"/>
  <c r="I71" i="1"/>
  <c r="H71" i="1"/>
  <c r="J71" i="1" s="1"/>
  <c r="G71" i="1"/>
  <c r="I70" i="1"/>
  <c r="H70" i="1"/>
  <c r="G70" i="1"/>
  <c r="I69" i="1"/>
  <c r="H69" i="1"/>
  <c r="J69" i="1" s="1"/>
  <c r="G69" i="1"/>
  <c r="I68" i="1"/>
  <c r="H68" i="1"/>
  <c r="J68" i="1" s="1"/>
  <c r="G68" i="1"/>
  <c r="I67" i="1"/>
  <c r="H67" i="1"/>
  <c r="J67" i="1" s="1"/>
  <c r="G67" i="1"/>
  <c r="I66" i="1"/>
  <c r="H66" i="1"/>
  <c r="J66" i="1" s="1"/>
  <c r="G66" i="1"/>
  <c r="I65" i="1"/>
  <c r="H65" i="1"/>
  <c r="J65" i="1" s="1"/>
  <c r="G65" i="1"/>
  <c r="I64" i="1"/>
  <c r="H64" i="1"/>
  <c r="J64" i="1" s="1"/>
  <c r="G64" i="1"/>
  <c r="I63" i="1"/>
  <c r="H63" i="1"/>
  <c r="J63" i="1" s="1"/>
  <c r="G63" i="1"/>
  <c r="I62" i="1"/>
  <c r="H62" i="1"/>
  <c r="J62" i="1" s="1"/>
  <c r="G62" i="1"/>
  <c r="I61" i="1"/>
  <c r="H61" i="1"/>
  <c r="J61" i="1" s="1"/>
  <c r="G61" i="1"/>
  <c r="I60" i="1"/>
  <c r="H60" i="1"/>
  <c r="G60" i="1"/>
  <c r="I59" i="1"/>
  <c r="H59" i="1"/>
  <c r="J59" i="1" s="1"/>
  <c r="G59" i="1"/>
  <c r="I58" i="1"/>
  <c r="H58" i="1"/>
  <c r="J58" i="1" s="1"/>
  <c r="G58" i="1"/>
  <c r="I57" i="1"/>
  <c r="H57" i="1"/>
  <c r="J57" i="1" s="1"/>
  <c r="G57" i="1"/>
  <c r="H56" i="1"/>
  <c r="G56" i="1"/>
  <c r="I56" i="1" s="1"/>
  <c r="I55" i="1"/>
  <c r="H55" i="1"/>
  <c r="G55" i="1"/>
  <c r="I54" i="1"/>
  <c r="H54" i="1"/>
  <c r="G54" i="1"/>
  <c r="I53" i="1"/>
  <c r="H53" i="1"/>
  <c r="G53" i="1"/>
  <c r="I52" i="1"/>
  <c r="H52" i="1"/>
  <c r="J52" i="1" s="1"/>
  <c r="G52" i="1"/>
  <c r="I51" i="1"/>
  <c r="H51" i="1"/>
  <c r="J51" i="1" s="1"/>
  <c r="G51" i="1"/>
  <c r="I50" i="1"/>
  <c r="H50" i="1"/>
  <c r="J50" i="1" s="1"/>
  <c r="G50" i="1"/>
  <c r="I49" i="1"/>
  <c r="H49" i="1"/>
  <c r="J49" i="1" s="1"/>
  <c r="G49" i="1"/>
  <c r="I48" i="1"/>
  <c r="H48" i="1"/>
  <c r="J48" i="1" s="1"/>
  <c r="G48" i="1"/>
  <c r="I47" i="1"/>
  <c r="H47" i="1"/>
  <c r="J47" i="1" s="1"/>
  <c r="G47" i="1"/>
  <c r="I46" i="1"/>
  <c r="H46" i="1"/>
  <c r="J46" i="1" s="1"/>
  <c r="G46" i="1"/>
  <c r="I45" i="1"/>
  <c r="H45" i="1"/>
  <c r="J45" i="1" s="1"/>
  <c r="G45" i="1"/>
  <c r="I44" i="1"/>
  <c r="H44" i="1"/>
  <c r="J44" i="1" s="1"/>
  <c r="G44" i="1"/>
  <c r="I43" i="1"/>
  <c r="H43" i="1"/>
  <c r="G43" i="1"/>
  <c r="I42" i="1"/>
  <c r="H42" i="1"/>
  <c r="J42" i="1" s="1"/>
  <c r="G42" i="1"/>
  <c r="I41" i="1"/>
  <c r="H41" i="1"/>
  <c r="J41" i="1" s="1"/>
  <c r="G41" i="1"/>
  <c r="I40" i="1"/>
  <c r="H40" i="1"/>
  <c r="J40" i="1" s="1"/>
  <c r="G40" i="1"/>
  <c r="I39" i="1"/>
  <c r="H39" i="1"/>
  <c r="J39" i="1" s="1"/>
  <c r="G39" i="1"/>
  <c r="I38" i="1"/>
  <c r="H38" i="1"/>
  <c r="J38" i="1" s="1"/>
  <c r="G38" i="1"/>
  <c r="I37" i="1"/>
  <c r="H37" i="1"/>
  <c r="J37" i="1" s="1"/>
  <c r="G37" i="1"/>
  <c r="I36" i="1"/>
  <c r="H36" i="1"/>
  <c r="J36" i="1" s="1"/>
  <c r="G36" i="1"/>
  <c r="I35" i="1"/>
  <c r="H35" i="1"/>
  <c r="J35" i="1" s="1"/>
  <c r="G35" i="1"/>
  <c r="I34" i="1"/>
  <c r="H34" i="1"/>
  <c r="J34" i="1" s="1"/>
  <c r="G34" i="1"/>
  <c r="I33" i="1"/>
  <c r="H33" i="1"/>
  <c r="G33" i="1"/>
  <c r="I32" i="1"/>
  <c r="H32" i="1"/>
  <c r="J32" i="1" s="1"/>
  <c r="G32" i="1"/>
  <c r="I31" i="1"/>
  <c r="H31" i="1"/>
  <c r="J31" i="1" s="1"/>
  <c r="G31" i="1"/>
  <c r="I30" i="1"/>
  <c r="H30" i="1"/>
  <c r="J30" i="1" s="1"/>
  <c r="G30" i="1"/>
  <c r="I29" i="1"/>
  <c r="H29" i="1"/>
  <c r="J29" i="1" s="1"/>
  <c r="G29" i="1"/>
  <c r="I28" i="1"/>
  <c r="H28" i="1"/>
  <c r="J28" i="1" s="1"/>
  <c r="G28" i="1"/>
  <c r="I27" i="1"/>
  <c r="H27" i="1"/>
  <c r="J27" i="1" s="1"/>
  <c r="G27" i="1"/>
  <c r="I26" i="1"/>
  <c r="H26" i="1"/>
  <c r="J26" i="1" s="1"/>
  <c r="G26" i="1"/>
  <c r="I25" i="1"/>
  <c r="H25" i="1"/>
  <c r="J25" i="1" s="1"/>
  <c r="G25" i="1"/>
  <c r="I24" i="1"/>
  <c r="H24" i="1"/>
  <c r="J24" i="1" s="1"/>
  <c r="G24" i="1"/>
  <c r="I23" i="1"/>
  <c r="H23" i="1"/>
  <c r="G23" i="1"/>
  <c r="I22" i="1"/>
  <c r="H22" i="1"/>
  <c r="J22" i="1" s="1"/>
  <c r="G22" i="1"/>
  <c r="I21" i="1"/>
  <c r="H21" i="1"/>
  <c r="J21" i="1" s="1"/>
  <c r="G21" i="1"/>
  <c r="I20" i="1"/>
  <c r="H20" i="1"/>
  <c r="J20" i="1" s="1"/>
  <c r="G20" i="1"/>
  <c r="I19" i="1"/>
  <c r="H19" i="1"/>
  <c r="J19" i="1" s="1"/>
  <c r="G19" i="1"/>
  <c r="I18" i="1"/>
  <c r="H18" i="1"/>
  <c r="J18" i="1" s="1"/>
  <c r="G18" i="1"/>
  <c r="I17" i="1"/>
  <c r="H17" i="1"/>
  <c r="J17" i="1" s="1"/>
  <c r="G17" i="1"/>
  <c r="I16" i="1"/>
  <c r="H16" i="1"/>
  <c r="J16" i="1" s="1"/>
  <c r="G16" i="1"/>
  <c r="I15" i="1"/>
  <c r="H15" i="1"/>
  <c r="J15" i="1" s="1"/>
  <c r="G15" i="1"/>
  <c r="I14" i="1"/>
  <c r="H14" i="1"/>
  <c r="J14" i="1" s="1"/>
  <c r="G14" i="1"/>
  <c r="I13" i="1"/>
  <c r="H13" i="1"/>
  <c r="G13" i="1"/>
  <c r="I12" i="1"/>
  <c r="H12" i="1"/>
  <c r="J12" i="1" s="1"/>
  <c r="G12" i="1"/>
  <c r="I11" i="1"/>
  <c r="H11" i="1"/>
  <c r="J11" i="1" s="1"/>
  <c r="G11" i="1"/>
  <c r="I10" i="1"/>
  <c r="H10" i="1"/>
  <c r="J10" i="1" s="1"/>
  <c r="G10" i="1"/>
  <c r="I9" i="1"/>
  <c r="H9" i="1"/>
  <c r="J9" i="1" s="1"/>
  <c r="G9" i="1"/>
  <c r="I8" i="1"/>
  <c r="H8" i="1"/>
  <c r="J8" i="1" s="1"/>
  <c r="G8" i="1"/>
  <c r="I7" i="1"/>
  <c r="H7" i="1"/>
  <c r="J7" i="1" s="1"/>
  <c r="G7" i="1"/>
  <c r="I6" i="1"/>
  <c r="H6" i="1"/>
  <c r="J6" i="1" s="1"/>
  <c r="G6" i="1"/>
  <c r="I5" i="1"/>
  <c r="H5" i="1"/>
  <c r="J5" i="1" s="1"/>
  <c r="G5" i="1"/>
  <c r="I4" i="1"/>
  <c r="H4" i="1"/>
  <c r="J4" i="1" s="1"/>
  <c r="G4" i="1"/>
  <c r="I3" i="1"/>
  <c r="H3" i="1"/>
  <c r="G3" i="1"/>
  <c r="J54" i="1" l="1"/>
  <c r="J93" i="1"/>
  <c r="J55" i="1"/>
  <c r="H94" i="1"/>
  <c r="J23" i="1"/>
  <c r="J43" i="1"/>
  <c r="J70" i="1"/>
  <c r="J90" i="1"/>
  <c r="J86" i="1"/>
  <c r="G94" i="1"/>
  <c r="J92" i="1"/>
  <c r="J13" i="1"/>
  <c r="J33" i="1"/>
  <c r="J53" i="1"/>
  <c r="J60" i="1"/>
  <c r="J80" i="1"/>
  <c r="J56" i="1"/>
  <c r="I94" i="1"/>
  <c r="J3" i="1"/>
  <c r="J94" i="1" l="1"/>
</calcChain>
</file>

<file path=xl/sharedStrings.xml><?xml version="1.0" encoding="utf-8"?>
<sst xmlns="http://schemas.openxmlformats.org/spreadsheetml/2006/main" count="292" uniqueCount="112">
  <si>
    <t>Customer Name</t>
  </si>
  <si>
    <t>Document Date</t>
  </si>
  <si>
    <t>Invoice Number</t>
  </si>
  <si>
    <t>Int/Ext</t>
  </si>
  <si>
    <t>MSP Fees %</t>
  </si>
  <si>
    <t>Total Billed Amount</t>
  </si>
  <si>
    <t>Net Billed Amount</t>
  </si>
  <si>
    <t>Sum of Internal Rebate</t>
  </si>
  <si>
    <t>Sum of External Rebate</t>
  </si>
  <si>
    <t>Sum of Total Rebates</t>
  </si>
  <si>
    <t>Childrens Hospital at Montefiore</t>
  </si>
  <si>
    <t>201020640</t>
  </si>
  <si>
    <t>Internal</t>
  </si>
  <si>
    <t>201040001</t>
  </si>
  <si>
    <t>201040090</t>
  </si>
  <si>
    <t>201050246</t>
  </si>
  <si>
    <t>201050313</t>
  </si>
  <si>
    <t>201060709</t>
  </si>
  <si>
    <t>201060703</t>
  </si>
  <si>
    <t>201075086</t>
  </si>
  <si>
    <t>201075118</t>
  </si>
  <si>
    <t>201082003</t>
  </si>
  <si>
    <t>201082061</t>
  </si>
  <si>
    <t>201092869</t>
  </si>
  <si>
    <t>201092912</t>
  </si>
  <si>
    <t>201106325</t>
  </si>
  <si>
    <t>201106583</t>
  </si>
  <si>
    <t>201124705</t>
  </si>
  <si>
    <t>201124774</t>
  </si>
  <si>
    <t>201124773</t>
  </si>
  <si>
    <t>201135377</t>
  </si>
  <si>
    <t>201135490</t>
  </si>
  <si>
    <t>201135439</t>
  </si>
  <si>
    <t>201149906</t>
  </si>
  <si>
    <t>201149893</t>
  </si>
  <si>
    <t>Montefiore Care Management</t>
  </si>
  <si>
    <t>201020641</t>
  </si>
  <si>
    <t>201040092</t>
  </si>
  <si>
    <t>201050176</t>
  </si>
  <si>
    <t>201050314</t>
  </si>
  <si>
    <t>201060736</t>
  </si>
  <si>
    <t>201082062</t>
  </si>
  <si>
    <t>201092914</t>
  </si>
  <si>
    <t>201092913</t>
  </si>
  <si>
    <t>201124860</t>
  </si>
  <si>
    <t>Montefiore Hospital - Moses Campus</t>
  </si>
  <si>
    <t>201020542</t>
  </si>
  <si>
    <t>201033120</t>
  </si>
  <si>
    <t>201040056</t>
  </si>
  <si>
    <t>201039933</t>
  </si>
  <si>
    <t>201040034</t>
  </si>
  <si>
    <t>201039931</t>
  </si>
  <si>
    <t>201050274</t>
  </si>
  <si>
    <t>201050264</t>
  </si>
  <si>
    <t>201060751</t>
  </si>
  <si>
    <t>201060783</t>
  </si>
  <si>
    <t>201075171</t>
  </si>
  <si>
    <t>201075195</t>
  </si>
  <si>
    <t>201082181</t>
  </si>
  <si>
    <t>201082250</t>
  </si>
  <si>
    <t>201093003</t>
  </si>
  <si>
    <t>201092934</t>
  </si>
  <si>
    <t>201106471</t>
  </si>
  <si>
    <t>201113279</t>
  </si>
  <si>
    <t>201124921</t>
  </si>
  <si>
    <t>201125004</t>
  </si>
  <si>
    <t>201135470</t>
  </si>
  <si>
    <t>201149964</t>
  </si>
  <si>
    <t>External</t>
  </si>
  <si>
    <t>201149902</t>
  </si>
  <si>
    <t>Montefiore Hutchinson Metro Center Tower Two</t>
  </si>
  <si>
    <t>201082177</t>
  </si>
  <si>
    <t>201093000</t>
  </si>
  <si>
    <t>201106459</t>
  </si>
  <si>
    <t>201113269</t>
  </si>
  <si>
    <t>201124916</t>
  </si>
  <si>
    <t>201135413</t>
  </si>
  <si>
    <t>201149883</t>
  </si>
  <si>
    <t>Montefiore Medical Park at Eastchester</t>
  </si>
  <si>
    <t>201135502</t>
  </si>
  <si>
    <t>201149961</t>
  </si>
  <si>
    <t>Montefiore Wakefield Campus</t>
  </si>
  <si>
    <t>201020574</t>
  </si>
  <si>
    <t>201039956</t>
  </si>
  <si>
    <t>201050164</t>
  </si>
  <si>
    <t>201060754</t>
  </si>
  <si>
    <t>201058896</t>
  </si>
  <si>
    <t>201060685</t>
  </si>
  <si>
    <t>201082200</t>
  </si>
  <si>
    <t>201082199</t>
  </si>
  <si>
    <t>201093016</t>
  </si>
  <si>
    <t>201092904</t>
  </si>
  <si>
    <t>201092812</t>
  </si>
  <si>
    <t>201093015</t>
  </si>
  <si>
    <t>201106748</t>
  </si>
  <si>
    <t>201106214</t>
  </si>
  <si>
    <t>201113432</t>
  </si>
  <si>
    <t>201113184</t>
  </si>
  <si>
    <t>201113185</t>
  </si>
  <si>
    <t>201113066</t>
  </si>
  <si>
    <t>201113067</t>
  </si>
  <si>
    <t>201125031</t>
  </si>
  <si>
    <t>201124750</t>
  </si>
  <si>
    <t>201124929</t>
  </si>
  <si>
    <t>201124748</t>
  </si>
  <si>
    <t>201135478</t>
  </si>
  <si>
    <t>201135423</t>
  </si>
  <si>
    <t>201149954</t>
  </si>
  <si>
    <t>201149930</t>
  </si>
  <si>
    <t>Row Labels</t>
  </si>
  <si>
    <t>Grand Total</t>
  </si>
  <si>
    <t>Sum of Sum of Total Rebates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</si>
</sst>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"/>
    </xf>
    <xf numFmtId="9" fontId="2" fillId="0" borderId="0" xfId="1" applyFont="1" applyAlignment="1">
      <alignment horizontal="center"/>
    </xf>
    <xf numFmtId="0" fontId="3" fillId="2" borderId="1" xfId="0" applyFont="1" applyFill="1" applyBorder="1"/>
    <xf numFmtId="10" fontId="3" fillId="2" borderId="1" xfId="0" applyNumberFormat="1" applyFont="1" applyFill="1" applyBorder="1"/>
    <xf numFmtId="14" fontId="0" fillId="0" borderId="0" xfId="0" applyNumberFormat="1"/>
    <xf numFmtId="10" fontId="0" fillId="0" borderId="0" xfId="0" applyNumberFormat="1"/>
    <xf numFmtId="165" fontId="0" fillId="0" borderId="0" xfId="0" applyNumberFormat="1"/>
    <xf numFmtId="44" fontId="0" fillId="0" borderId="0" xfId="0" applyNumberForma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15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&quot;$&quot;#,##0.00"/>
    </dxf>
    <dxf>
      <numFmt numFmtId="14" formatCode="0.00%"/>
    </dxf>
    <dxf>
      <numFmt numFmtId="19" formatCode="m/d/yyyy"/>
    </dxf>
    <dxf>
      <numFmt numFmtId="19" formatCode="m/d/yyyy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stan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ants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lsey Grant Liebmann" refreshedDate="46063.64196458333" createdVersion="8" refreshedVersion="8" minRefreshableVersion="3" recordCount="91" xr:uid="{2C1F4AE3-8979-448B-8774-30D9F4E59844}">
  <cacheSource type="worksheet">
    <worksheetSource name="Table1"/>
  </cacheSource>
  <cacheFields count="10">
    <cacheField name="Customer Name" numFmtId="0">
      <sharedItems count="6">
        <s v="Childrens Hospital at Montefiore"/>
        <s v="Montefiore Care Management"/>
        <s v="Montefiore Hospital - Moses Campus"/>
        <s v="Montefiore Hutchinson Metro Center Tower Two"/>
        <s v="Montefiore Medical Park at Eastchester"/>
        <s v="Montefiore Wakefield Campus"/>
      </sharedItems>
    </cacheField>
    <cacheField name="Document Date" numFmtId="14">
      <sharedItems containsSemiMixedTypes="0" containsNonDate="0" containsDate="1" containsString="0" minDate="2025-10-02T00:00:00" maxDate="2025-12-30T00:00:00"/>
    </cacheField>
    <cacheField name="Invoice Number" numFmtId="0">
      <sharedItems/>
    </cacheField>
    <cacheField name="Int/Ext" numFmtId="0">
      <sharedItems/>
    </cacheField>
    <cacheField name="MSP Fees %" numFmtId="10">
      <sharedItems containsSemiMixedTypes="0" containsString="0" containsNumber="1" minValue="0" maxValue="0.06"/>
    </cacheField>
    <cacheField name="Total Billed Amount" numFmtId="165">
      <sharedItems containsSemiMixedTypes="0" containsString="0" containsNumber="1" minValue="840" maxValue="5935.5"/>
    </cacheField>
    <cacheField name="Net Billed Amount" numFmtId="44">
      <sharedItems containsSemiMixedTypes="0" containsString="0" containsNumber="1" minValue="282.46859999999998" maxValue="5935.5"/>
    </cacheField>
    <cacheField name="Sum of Internal Rebate" numFmtId="44">
      <sharedItems containsSemiMixedTypes="0" containsString="0" containsNumber="1" minValue="0" maxValue="118.71000000000001"/>
    </cacheField>
    <cacheField name="Sum of External Rebate" numFmtId="44">
      <sharedItems containsSemiMixedTypes="0" containsString="0" containsNumber="1" minValue="0" maxValue="56.493719999999996"/>
    </cacheField>
    <cacheField name="Sum of Total Rebates" numFmtId="44">
      <sharedItems containsSemiMixedTypes="0" containsString="0" containsNumber="1" minValue="16.8" maxValue="118.71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x v="0"/>
    <d v="2025-10-02T00:00:00"/>
    <s v="201020640"/>
    <s v="Internal"/>
    <n v="0"/>
    <n v="2152.5"/>
    <n v="2152.5"/>
    <n v="43.050000000000004"/>
    <n v="0"/>
    <n v="43.050000000000004"/>
  </r>
  <r>
    <x v="0"/>
    <d v="2025-10-16T00:00:00"/>
    <s v="201040001"/>
    <s v="Internal"/>
    <n v="0"/>
    <n v="4360.8"/>
    <n v="4360.8"/>
    <n v="87.216000000000008"/>
    <n v="0"/>
    <n v="87.216000000000008"/>
  </r>
  <r>
    <x v="0"/>
    <d v="2025-10-16T00:00:00"/>
    <s v="201040090"/>
    <s v="Internal"/>
    <n v="0"/>
    <n v="3623"/>
    <n v="3623"/>
    <n v="72.460000000000008"/>
    <n v="0"/>
    <n v="72.460000000000008"/>
  </r>
  <r>
    <x v="0"/>
    <d v="2025-10-23T00:00:00"/>
    <s v="201050246"/>
    <s v="Internal"/>
    <n v="0"/>
    <n v="4323.6000000000004"/>
    <n v="4323.6000000000004"/>
    <n v="86.472000000000008"/>
    <n v="0"/>
    <n v="86.472000000000008"/>
  </r>
  <r>
    <x v="0"/>
    <d v="2025-10-23T00:00:00"/>
    <s v="201050313"/>
    <s v="Internal"/>
    <n v="0"/>
    <n v="3831.45"/>
    <n v="3831.45"/>
    <n v="76.629000000000005"/>
    <n v="0"/>
    <n v="76.629000000000005"/>
  </r>
  <r>
    <x v="0"/>
    <d v="2025-10-30T00:00:00"/>
    <s v="201060709"/>
    <s v="Internal"/>
    <n v="0"/>
    <n v="4339.2000000000007"/>
    <n v="4339.2000000000007"/>
    <n v="86.78400000000002"/>
    <n v="0"/>
    <n v="86.78400000000002"/>
  </r>
  <r>
    <x v="0"/>
    <d v="2025-10-30T00:00:00"/>
    <s v="201060703"/>
    <s v="Internal"/>
    <n v="0"/>
    <n v="3848.2499999999995"/>
    <n v="3848.2499999999995"/>
    <n v="76.964999999999989"/>
    <n v="0"/>
    <n v="76.964999999999989"/>
  </r>
  <r>
    <x v="0"/>
    <d v="2025-11-10T00:00:00"/>
    <s v="201075086"/>
    <s v="Internal"/>
    <n v="0"/>
    <n v="4316.3999999999996"/>
    <n v="4316.3999999999996"/>
    <n v="86.327999999999989"/>
    <n v="0"/>
    <n v="86.327999999999989"/>
  </r>
  <r>
    <x v="0"/>
    <d v="2025-11-10T00:00:00"/>
    <s v="201075118"/>
    <s v="Internal"/>
    <n v="0"/>
    <n v="3896.55"/>
    <n v="3896.55"/>
    <n v="77.931000000000012"/>
    <n v="0"/>
    <n v="77.931000000000012"/>
  </r>
  <r>
    <x v="0"/>
    <d v="2025-11-13T00:00:00"/>
    <s v="201082003"/>
    <s v="Internal"/>
    <n v="0"/>
    <n v="4317.6000000000004"/>
    <n v="4317.6000000000004"/>
    <n v="86.352000000000004"/>
    <n v="0"/>
    <n v="86.352000000000004"/>
  </r>
  <r>
    <x v="0"/>
    <d v="2025-11-13T00:00:00"/>
    <s v="201082061"/>
    <s v="Internal"/>
    <n v="0"/>
    <n v="3840.9"/>
    <n v="3840.9"/>
    <n v="76.817999999999998"/>
    <n v="0"/>
    <n v="76.817999999999998"/>
  </r>
  <r>
    <x v="0"/>
    <d v="2025-11-20T00:00:00"/>
    <s v="201092869"/>
    <s v="Internal"/>
    <n v="0"/>
    <n v="4370.3999999999996"/>
    <n v="4370.3999999999996"/>
    <n v="87.408000000000001"/>
    <n v="0"/>
    <n v="87.408000000000001"/>
  </r>
  <r>
    <x v="0"/>
    <d v="2025-11-20T00:00:00"/>
    <s v="201092912"/>
    <s v="Internal"/>
    <n v="0"/>
    <n v="3855.6"/>
    <n v="3855.6"/>
    <n v="77.111999999999995"/>
    <n v="0"/>
    <n v="77.111999999999995"/>
  </r>
  <r>
    <x v="0"/>
    <d v="2025-12-01T00:00:00"/>
    <s v="201106325"/>
    <s v="Internal"/>
    <n v="0"/>
    <n v="4375.2000000000007"/>
    <n v="4375.2000000000007"/>
    <n v="87.504000000000019"/>
    <n v="0"/>
    <n v="87.504000000000019"/>
  </r>
  <r>
    <x v="0"/>
    <d v="2025-12-01T00:00:00"/>
    <s v="201106583"/>
    <s v="Internal"/>
    <n v="0"/>
    <n v="2887.5"/>
    <n v="2887.5"/>
    <n v="57.75"/>
    <n v="0"/>
    <n v="57.75"/>
  </r>
  <r>
    <x v="0"/>
    <d v="2025-12-11T00:00:00"/>
    <s v="201124705"/>
    <s v="Internal"/>
    <n v="0"/>
    <n v="4630.8000000000011"/>
    <n v="4630.8000000000011"/>
    <n v="92.616000000000028"/>
    <n v="0"/>
    <n v="92.616000000000028"/>
  </r>
  <r>
    <x v="0"/>
    <d v="2025-12-11T00:00:00"/>
    <s v="201124774"/>
    <s v="Internal"/>
    <n v="0"/>
    <n v="3648.7499999999995"/>
    <n v="3648.7499999999995"/>
    <n v="72.974999999999994"/>
    <n v="0"/>
    <n v="72.974999999999994"/>
  </r>
  <r>
    <x v="0"/>
    <d v="2025-12-11T00:00:00"/>
    <s v="201124773"/>
    <s v="Internal"/>
    <n v="0"/>
    <n v="3924.38"/>
    <n v="3924.38"/>
    <n v="78.4876"/>
    <n v="0"/>
    <n v="78.4876"/>
  </r>
  <r>
    <x v="0"/>
    <d v="2025-12-18T00:00:00"/>
    <s v="201135377"/>
    <s v="Internal"/>
    <n v="0"/>
    <n v="3830.3999999999996"/>
    <n v="3830.3999999999996"/>
    <n v="76.60799999999999"/>
    <n v="0"/>
    <n v="76.60799999999999"/>
  </r>
  <r>
    <x v="0"/>
    <d v="2025-12-18T00:00:00"/>
    <s v="201135490"/>
    <s v="Internal"/>
    <n v="0"/>
    <n v="3773.7"/>
    <n v="3773.7"/>
    <n v="75.474000000000004"/>
    <n v="0"/>
    <n v="75.474000000000004"/>
  </r>
  <r>
    <x v="0"/>
    <d v="2025-12-18T00:00:00"/>
    <s v="201135439"/>
    <s v="Internal"/>
    <n v="0"/>
    <n v="3622.5"/>
    <n v="3622.5"/>
    <n v="72.45"/>
    <n v="0"/>
    <n v="72.45"/>
  </r>
  <r>
    <x v="0"/>
    <d v="2025-12-29T00:00:00"/>
    <s v="201149906"/>
    <s v="Internal"/>
    <n v="0"/>
    <n v="3827.25"/>
    <n v="3827.25"/>
    <n v="76.545000000000002"/>
    <n v="0"/>
    <n v="76.545000000000002"/>
  </r>
  <r>
    <x v="0"/>
    <d v="2025-12-29T00:00:00"/>
    <s v="201149893"/>
    <s v="Internal"/>
    <n v="0"/>
    <n v="3675"/>
    <n v="3675"/>
    <n v="73.5"/>
    <n v="0"/>
    <n v="73.5"/>
  </r>
  <r>
    <x v="1"/>
    <d v="2025-10-02T00:00:00"/>
    <s v="201020641"/>
    <s v="Internal"/>
    <n v="0"/>
    <n v="3792"/>
    <n v="3792"/>
    <n v="75.84"/>
    <n v="0"/>
    <n v="75.84"/>
  </r>
  <r>
    <x v="1"/>
    <d v="2025-10-16T00:00:00"/>
    <s v="201040092"/>
    <s v="Internal"/>
    <n v="0"/>
    <n v="3705.6"/>
    <n v="3705.6"/>
    <n v="74.111999999999995"/>
    <n v="0"/>
    <n v="74.111999999999995"/>
  </r>
  <r>
    <x v="1"/>
    <d v="2025-10-23T00:00:00"/>
    <s v="201050176"/>
    <s v="Internal"/>
    <n v="0"/>
    <n v="3699.84"/>
    <n v="3699.84"/>
    <n v="73.996800000000007"/>
    <n v="0"/>
    <n v="73.996800000000007"/>
  </r>
  <r>
    <x v="1"/>
    <d v="2025-10-23T00:00:00"/>
    <s v="201050314"/>
    <s v="Internal"/>
    <n v="0"/>
    <n v="3601.92"/>
    <n v="3601.92"/>
    <n v="72.03840000000001"/>
    <n v="0"/>
    <n v="72.03840000000001"/>
  </r>
  <r>
    <x v="1"/>
    <d v="2025-10-30T00:00:00"/>
    <s v="201060736"/>
    <s v="Internal"/>
    <n v="0"/>
    <n v="3603.84"/>
    <n v="3603.84"/>
    <n v="72.076800000000006"/>
    <n v="0"/>
    <n v="72.076800000000006"/>
  </r>
  <r>
    <x v="1"/>
    <d v="2025-11-13T00:00:00"/>
    <s v="201082062"/>
    <s v="Internal"/>
    <n v="0"/>
    <n v="3600"/>
    <n v="3600"/>
    <n v="72"/>
    <n v="0"/>
    <n v="72"/>
  </r>
  <r>
    <x v="1"/>
    <d v="2025-11-20T00:00:00"/>
    <s v="201092914"/>
    <s v="Internal"/>
    <n v="0"/>
    <n v="2891.5200000000004"/>
    <n v="2891.5200000000004"/>
    <n v="57.830400000000012"/>
    <n v="0"/>
    <n v="57.830400000000012"/>
  </r>
  <r>
    <x v="1"/>
    <d v="2025-11-20T00:00:00"/>
    <s v="201092913"/>
    <s v="Internal"/>
    <n v="0"/>
    <n v="3600"/>
    <n v="3600"/>
    <n v="72"/>
    <n v="0"/>
    <n v="72"/>
  </r>
  <r>
    <x v="1"/>
    <d v="2025-12-11T00:00:00"/>
    <s v="201124860"/>
    <s v="Internal"/>
    <n v="0"/>
    <n v="1486.08"/>
    <n v="1486.08"/>
    <n v="29.721599999999999"/>
    <n v="0"/>
    <n v="29.721599999999999"/>
  </r>
  <r>
    <x v="2"/>
    <d v="2025-10-02T00:00:00"/>
    <s v="201020542"/>
    <s v="Internal"/>
    <n v="0"/>
    <n v="4111.25"/>
    <n v="4111.25"/>
    <n v="82.225000000000009"/>
    <n v="0"/>
    <n v="82.225000000000009"/>
  </r>
  <r>
    <x v="2"/>
    <d v="2025-10-10T00:00:00"/>
    <s v="201033120"/>
    <s v="Internal"/>
    <n v="0"/>
    <n v="4068.7"/>
    <n v="4068.7"/>
    <n v="81.373999999999995"/>
    <n v="0"/>
    <n v="81.373999999999995"/>
  </r>
  <r>
    <x v="2"/>
    <d v="2025-10-16T00:00:00"/>
    <s v="201040056"/>
    <s v="Internal"/>
    <n v="0"/>
    <n v="4143.45"/>
    <n v="4143.45"/>
    <n v="82.869"/>
    <n v="0"/>
    <n v="82.869"/>
  </r>
  <r>
    <x v="2"/>
    <d v="2025-10-16T00:00:00"/>
    <s v="201039933"/>
    <s v="Internal"/>
    <n v="0"/>
    <n v="3913.45"/>
    <n v="3913.45"/>
    <n v="78.268999999999991"/>
    <n v="0"/>
    <n v="78.268999999999991"/>
  </r>
  <r>
    <x v="2"/>
    <d v="2025-10-16T00:00:00"/>
    <s v="201040034"/>
    <s v="Internal"/>
    <n v="0"/>
    <n v="4235.45"/>
    <n v="4235.45"/>
    <n v="84.709000000000003"/>
    <n v="0"/>
    <n v="84.709000000000003"/>
  </r>
  <r>
    <x v="2"/>
    <d v="2025-10-16T00:00:00"/>
    <s v="201039931"/>
    <s v="Internal"/>
    <n v="0"/>
    <n v="3852.5"/>
    <n v="3852.5"/>
    <n v="77.05"/>
    <n v="0"/>
    <n v="77.05"/>
  </r>
  <r>
    <x v="2"/>
    <d v="2025-10-23T00:00:00"/>
    <s v="201050274"/>
    <s v="Internal"/>
    <n v="0"/>
    <n v="4140"/>
    <n v="4140"/>
    <n v="82.8"/>
    <n v="0"/>
    <n v="82.8"/>
  </r>
  <r>
    <x v="2"/>
    <d v="2025-10-23T00:00:00"/>
    <s v="201050264"/>
    <s v="Internal"/>
    <n v="0"/>
    <n v="2953.2"/>
    <n v="2953.2"/>
    <n v="59.064"/>
    <n v="0"/>
    <n v="59.064"/>
  </r>
  <r>
    <x v="2"/>
    <d v="2025-10-30T00:00:00"/>
    <s v="201060751"/>
    <s v="Internal"/>
    <n v="0"/>
    <n v="4197.5"/>
    <n v="4197.5"/>
    <n v="83.95"/>
    <n v="0"/>
    <n v="83.95"/>
  </r>
  <r>
    <x v="2"/>
    <d v="2025-10-30T00:00:00"/>
    <s v="201060783"/>
    <s v="Internal"/>
    <n v="0"/>
    <n v="4990.5"/>
    <n v="4990.5"/>
    <n v="99.81"/>
    <n v="0"/>
    <n v="99.81"/>
  </r>
  <r>
    <x v="2"/>
    <d v="2025-11-10T00:00:00"/>
    <s v="201075171"/>
    <s v="Internal"/>
    <n v="0"/>
    <n v="4082.5"/>
    <n v="4082.5"/>
    <n v="81.650000000000006"/>
    <n v="0"/>
    <n v="81.650000000000006"/>
  </r>
  <r>
    <x v="2"/>
    <d v="2025-11-10T00:00:00"/>
    <s v="201075195"/>
    <s v="Internal"/>
    <n v="0"/>
    <n v="5329.5"/>
    <n v="5329.5"/>
    <n v="106.59"/>
    <n v="0"/>
    <n v="106.59"/>
  </r>
  <r>
    <x v="2"/>
    <d v="2025-11-13T00:00:00"/>
    <s v="201082181"/>
    <s v="Internal"/>
    <n v="0"/>
    <n v="4197.5"/>
    <n v="4197.5"/>
    <n v="83.95"/>
    <n v="0"/>
    <n v="83.95"/>
  </r>
  <r>
    <x v="2"/>
    <d v="2025-11-13T00:00:00"/>
    <s v="201082250"/>
    <s v="Internal"/>
    <n v="0"/>
    <n v="3794.4"/>
    <n v="3794.4"/>
    <n v="75.888000000000005"/>
    <n v="0"/>
    <n v="75.888000000000005"/>
  </r>
  <r>
    <x v="2"/>
    <d v="2025-11-20T00:00:00"/>
    <s v="201093003"/>
    <s v="Internal"/>
    <n v="0"/>
    <n v="4168.75"/>
    <n v="4168.75"/>
    <n v="83.375"/>
    <n v="0"/>
    <n v="83.375"/>
  </r>
  <r>
    <x v="2"/>
    <d v="2025-11-20T00:00:00"/>
    <s v="201092934"/>
    <s v="Internal"/>
    <n v="0"/>
    <n v="5140.5"/>
    <n v="5140.5"/>
    <n v="102.81"/>
    <n v="0"/>
    <n v="102.81"/>
  </r>
  <r>
    <x v="2"/>
    <d v="2025-12-01T00:00:00"/>
    <s v="201106471"/>
    <s v="Internal"/>
    <n v="0"/>
    <n v="4283.75"/>
    <n v="4283.75"/>
    <n v="85.674999999999997"/>
    <n v="0"/>
    <n v="85.674999999999997"/>
  </r>
  <r>
    <x v="2"/>
    <d v="2025-12-04T00:00:00"/>
    <s v="201113279"/>
    <s v="Internal"/>
    <n v="0"/>
    <n v="4053.75"/>
    <n v="4053.75"/>
    <n v="81.075000000000003"/>
    <n v="0"/>
    <n v="81.075000000000003"/>
  </r>
  <r>
    <x v="2"/>
    <d v="2025-12-11T00:00:00"/>
    <s v="201124921"/>
    <s v="Internal"/>
    <n v="0"/>
    <n v="1351.25"/>
    <n v="1351.25"/>
    <n v="27.025000000000002"/>
    <n v="0"/>
    <n v="27.025000000000002"/>
  </r>
  <r>
    <x v="2"/>
    <d v="2025-12-11T00:00:00"/>
    <s v="201125004"/>
    <s v="Internal"/>
    <n v="0"/>
    <n v="3885.6"/>
    <n v="3885.6"/>
    <n v="77.712000000000003"/>
    <n v="0"/>
    <n v="77.712000000000003"/>
  </r>
  <r>
    <x v="2"/>
    <d v="2025-12-18T00:00:00"/>
    <s v="201135470"/>
    <s v="Internal"/>
    <n v="0"/>
    <n v="5287.5"/>
    <n v="5287.5"/>
    <n v="105.75"/>
    <n v="0"/>
    <n v="105.75"/>
  </r>
  <r>
    <x v="2"/>
    <d v="2025-12-29T00:00:00"/>
    <s v="201149964"/>
    <s v="External"/>
    <n v="0.06"/>
    <n v="4707.8099999999995"/>
    <n v="282.46859999999998"/>
    <n v="0"/>
    <n v="56.493719999999996"/>
    <n v="56.493719999999996"/>
  </r>
  <r>
    <x v="2"/>
    <d v="2025-12-29T00:00:00"/>
    <s v="201149902"/>
    <s v="Internal"/>
    <n v="0"/>
    <n v="5935.5"/>
    <n v="5935.5"/>
    <n v="118.71000000000001"/>
    <n v="0"/>
    <n v="118.71000000000001"/>
  </r>
  <r>
    <x v="3"/>
    <d v="2025-11-13T00:00:00"/>
    <s v="201082177"/>
    <s v="Internal"/>
    <n v="0"/>
    <n v="3836.75"/>
    <n v="3836.75"/>
    <n v="76.734999999999999"/>
    <n v="0"/>
    <n v="76.734999999999999"/>
  </r>
  <r>
    <x v="3"/>
    <d v="2025-11-20T00:00:00"/>
    <s v="201093000"/>
    <s v="Internal"/>
    <n v="0"/>
    <n v="3862.5"/>
    <n v="3862.5"/>
    <n v="77.25"/>
    <n v="0"/>
    <n v="77.25"/>
  </r>
  <r>
    <x v="3"/>
    <d v="2025-12-01T00:00:00"/>
    <s v="201106459"/>
    <s v="Internal"/>
    <n v="0"/>
    <n v="3862.5"/>
    <n v="3862.5"/>
    <n v="77.25"/>
    <n v="0"/>
    <n v="77.25"/>
  </r>
  <r>
    <x v="3"/>
    <d v="2025-12-04T00:00:00"/>
    <s v="201113269"/>
    <s v="Internal"/>
    <n v="0"/>
    <n v="3090"/>
    <n v="3090"/>
    <n v="61.800000000000004"/>
    <n v="0"/>
    <n v="61.800000000000004"/>
  </r>
  <r>
    <x v="3"/>
    <d v="2025-12-11T00:00:00"/>
    <s v="201124916"/>
    <s v="Internal"/>
    <n v="0"/>
    <n v="3862.5"/>
    <n v="3862.5"/>
    <n v="77.25"/>
    <n v="0"/>
    <n v="77.25"/>
  </r>
  <r>
    <x v="3"/>
    <d v="2025-12-18T00:00:00"/>
    <s v="201135413"/>
    <s v="Internal"/>
    <n v="0"/>
    <n v="3862.5"/>
    <n v="3862.5"/>
    <n v="77.25"/>
    <n v="0"/>
    <n v="77.25"/>
  </r>
  <r>
    <x v="3"/>
    <d v="2025-12-29T00:00:00"/>
    <s v="201149883"/>
    <s v="Internal"/>
    <n v="0"/>
    <n v="3862.5"/>
    <n v="3862.5"/>
    <n v="77.25"/>
    <n v="0"/>
    <n v="77.25"/>
  </r>
  <r>
    <x v="4"/>
    <d v="2025-12-18T00:00:00"/>
    <s v="201135502"/>
    <s v="Internal"/>
    <n v="0"/>
    <n v="840"/>
    <n v="840"/>
    <n v="16.8"/>
    <n v="0"/>
    <n v="16.8"/>
  </r>
  <r>
    <x v="4"/>
    <d v="2025-12-29T00:00:00"/>
    <s v="201149961"/>
    <s v="Internal"/>
    <n v="0"/>
    <n v="2625"/>
    <n v="2625"/>
    <n v="52.5"/>
    <n v="0"/>
    <n v="52.5"/>
  </r>
  <r>
    <x v="5"/>
    <d v="2025-10-02T00:00:00"/>
    <s v="201020574"/>
    <s v="Internal"/>
    <n v="0"/>
    <n v="3037.5"/>
    <n v="3037.5"/>
    <n v="60.75"/>
    <n v="0"/>
    <n v="60.75"/>
  </r>
  <r>
    <x v="5"/>
    <d v="2025-10-16T00:00:00"/>
    <s v="201039956"/>
    <s v="Internal"/>
    <n v="0"/>
    <n v="3037.5"/>
    <n v="3037.5"/>
    <n v="60.75"/>
    <n v="0"/>
    <n v="60.75"/>
  </r>
  <r>
    <x v="5"/>
    <d v="2025-10-23T00:00:00"/>
    <s v="201050164"/>
    <s v="Internal"/>
    <n v="0"/>
    <n v="1944"/>
    <n v="1944"/>
    <n v="38.880000000000003"/>
    <n v="0"/>
    <n v="38.880000000000003"/>
  </r>
  <r>
    <x v="5"/>
    <d v="2025-10-30T00:00:00"/>
    <s v="201060754"/>
    <s v="Internal"/>
    <n v="0"/>
    <n v="3037.5"/>
    <n v="3037.5"/>
    <n v="60.75"/>
    <n v="0"/>
    <n v="60.75"/>
  </r>
  <r>
    <x v="5"/>
    <d v="2025-10-30T00:00:00"/>
    <s v="201058896"/>
    <s v="Internal"/>
    <n v="0"/>
    <n v="2916"/>
    <n v="2916"/>
    <n v="58.32"/>
    <n v="0"/>
    <n v="58.32"/>
  </r>
  <r>
    <x v="5"/>
    <d v="2025-10-30T00:00:00"/>
    <s v="201060685"/>
    <s v="Internal"/>
    <n v="0"/>
    <n v="3037.5"/>
    <n v="3037.5"/>
    <n v="60.75"/>
    <n v="0"/>
    <n v="60.75"/>
  </r>
  <r>
    <x v="5"/>
    <d v="2025-11-13T00:00:00"/>
    <s v="201082200"/>
    <s v="Internal"/>
    <n v="0"/>
    <n v="972"/>
    <n v="972"/>
    <n v="19.440000000000001"/>
    <n v="0"/>
    <n v="19.440000000000001"/>
  </r>
  <r>
    <x v="5"/>
    <d v="2025-11-13T00:00:00"/>
    <s v="201082199"/>
    <s v="Internal"/>
    <n v="0"/>
    <n v="3037.5"/>
    <n v="3037.5"/>
    <n v="60.75"/>
    <n v="0"/>
    <n v="60.75"/>
  </r>
  <r>
    <x v="5"/>
    <d v="2025-11-20T00:00:00"/>
    <s v="201093016"/>
    <s v="Internal"/>
    <n v="0"/>
    <n v="3037.5"/>
    <n v="3037.5"/>
    <n v="60.75"/>
    <n v="0"/>
    <n v="60.75"/>
  </r>
  <r>
    <x v="5"/>
    <d v="2025-11-20T00:00:00"/>
    <s v="201092904"/>
    <s v="Internal"/>
    <n v="0"/>
    <n v="2916"/>
    <n v="2916"/>
    <n v="58.32"/>
    <n v="0"/>
    <n v="58.32"/>
  </r>
  <r>
    <x v="5"/>
    <d v="2025-11-20T00:00:00"/>
    <s v="201092812"/>
    <s v="Internal"/>
    <n v="0"/>
    <n v="3037.5"/>
    <n v="3037.5"/>
    <n v="60.75"/>
    <n v="0"/>
    <n v="60.75"/>
  </r>
  <r>
    <x v="5"/>
    <d v="2025-11-20T00:00:00"/>
    <s v="201093015"/>
    <s v="Internal"/>
    <n v="0"/>
    <n v="3037.5"/>
    <n v="3037.5"/>
    <n v="60.75"/>
    <n v="0"/>
    <n v="60.75"/>
  </r>
  <r>
    <x v="5"/>
    <d v="2025-12-01T00:00:00"/>
    <s v="201106748"/>
    <s v="Internal"/>
    <n v="0"/>
    <n v="3602"/>
    <n v="3602"/>
    <n v="72.040000000000006"/>
    <n v="0"/>
    <n v="72.040000000000006"/>
  </r>
  <r>
    <x v="5"/>
    <d v="2025-12-01T00:00:00"/>
    <s v="201106214"/>
    <s v="Internal"/>
    <n v="0"/>
    <n v="2050"/>
    <n v="2050"/>
    <n v="41"/>
    <n v="0"/>
    <n v="41"/>
  </r>
  <r>
    <x v="5"/>
    <d v="2025-12-04T00:00:00"/>
    <s v="201113432"/>
    <s v="Internal"/>
    <n v="0"/>
    <n v="3620"/>
    <n v="3620"/>
    <n v="72.400000000000006"/>
    <n v="0"/>
    <n v="72.400000000000006"/>
  </r>
  <r>
    <x v="5"/>
    <d v="2025-12-04T00:00:00"/>
    <s v="201113184"/>
    <s v="Internal"/>
    <n v="0"/>
    <n v="3312"/>
    <n v="3312"/>
    <n v="66.239999999999995"/>
    <n v="0"/>
    <n v="66.239999999999995"/>
  </r>
  <r>
    <x v="5"/>
    <d v="2025-12-04T00:00:00"/>
    <s v="201113185"/>
    <s v="Internal"/>
    <n v="0"/>
    <n v="3268.76"/>
    <n v="3268.76"/>
    <n v="65.375200000000007"/>
    <n v="0"/>
    <n v="65.375200000000007"/>
  </r>
  <r>
    <x v="5"/>
    <d v="2025-12-04T00:00:00"/>
    <s v="201113066"/>
    <s v="Internal"/>
    <n v="0"/>
    <n v="1863"/>
    <n v="1863"/>
    <n v="37.26"/>
    <n v="0"/>
    <n v="37.26"/>
  </r>
  <r>
    <x v="5"/>
    <d v="2025-12-04T00:00:00"/>
    <s v="201113067"/>
    <s v="Internal"/>
    <n v="0"/>
    <n v="3523.5"/>
    <n v="3523.5"/>
    <n v="70.47"/>
    <n v="0"/>
    <n v="70.47"/>
  </r>
  <r>
    <x v="5"/>
    <d v="2025-12-11T00:00:00"/>
    <s v="201125031"/>
    <s v="Internal"/>
    <n v="0"/>
    <n v="2233"/>
    <n v="2233"/>
    <n v="44.660000000000004"/>
    <n v="0"/>
    <n v="44.660000000000004"/>
  </r>
  <r>
    <x v="5"/>
    <d v="2025-12-11T00:00:00"/>
    <s v="201124750"/>
    <s v="Internal"/>
    <n v="0"/>
    <n v="1944"/>
    <n v="1944"/>
    <n v="38.880000000000003"/>
    <n v="0"/>
    <n v="38.880000000000003"/>
  </r>
  <r>
    <x v="5"/>
    <d v="2025-12-11T00:00:00"/>
    <s v="201124929"/>
    <s v="Internal"/>
    <n v="0"/>
    <n v="3037.5"/>
    <n v="3037.5"/>
    <n v="60.75"/>
    <n v="0"/>
    <n v="60.75"/>
  </r>
  <r>
    <x v="5"/>
    <d v="2025-12-11T00:00:00"/>
    <s v="201124748"/>
    <s v="Internal"/>
    <n v="0"/>
    <n v="3037.5"/>
    <n v="3037.5"/>
    <n v="60.75"/>
    <n v="0"/>
    <n v="60.75"/>
  </r>
  <r>
    <x v="5"/>
    <d v="2025-12-18T00:00:00"/>
    <s v="201135478"/>
    <s v="Internal"/>
    <n v="0"/>
    <n v="2424"/>
    <n v="2424"/>
    <n v="48.480000000000004"/>
    <n v="0"/>
    <n v="48.480000000000004"/>
  </r>
  <r>
    <x v="5"/>
    <d v="2025-12-18T00:00:00"/>
    <s v="201135423"/>
    <s v="Internal"/>
    <n v="0"/>
    <n v="2025"/>
    <n v="2025"/>
    <n v="40.5"/>
    <n v="0"/>
    <n v="40.5"/>
  </r>
  <r>
    <x v="5"/>
    <d v="2025-12-29T00:00:00"/>
    <s v="201149954"/>
    <s v="Internal"/>
    <n v="0"/>
    <n v="3526"/>
    <n v="3526"/>
    <n v="70.52"/>
    <n v="0"/>
    <n v="70.52"/>
  </r>
  <r>
    <x v="5"/>
    <d v="2025-12-29T00:00:00"/>
    <s v="201149930"/>
    <s v="Internal"/>
    <n v="0"/>
    <n v="3037.5"/>
    <n v="3037.5"/>
    <n v="60.75"/>
    <n v="0"/>
    <n v="60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E0318-039D-40B4-AFCE-170E5E2C5A3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8" firstHeaderRow="1" firstDataRow="1" firstDataCol="1"/>
  <pivotFields count="10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numFmtId="14" showAll="0"/>
    <pivotField showAll="0"/>
    <pivotField showAll="0"/>
    <pivotField numFmtId="10" showAll="0"/>
    <pivotField numFmtId="165" showAll="0"/>
    <pivotField numFmtId="44" showAll="0"/>
    <pivotField numFmtId="44" showAll="0"/>
    <pivotField numFmtId="44" showAll="0"/>
    <pivotField dataField="1" numFmtId="44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um of Total Rebates" fld="9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91D0B-1AB2-4F10-80E0-B9EDBE0FFAD6}" name="Table1" displayName="Table1" ref="A2:J94" totalsRowCount="1" headerRowDxfId="14" headerRowBorderDxfId="13">
  <autoFilter ref="A2:J93" xr:uid="{AE8FDC6D-E005-46BA-AFC4-E85F3DC3B749}"/>
  <sortState xmlns:xlrd2="http://schemas.microsoft.com/office/spreadsheetml/2017/richdata2" ref="A3:J93">
    <sortCondition ref="A2:A93"/>
  </sortState>
  <tableColumns count="10">
    <tableColumn id="1" xr3:uid="{41EF330B-3C53-478C-98F5-6C081C1859A1}" name="Customer Name"/>
    <tableColumn id="2" xr3:uid="{963CE466-CEC7-4DD8-877D-2781042CC7B5}" name="Document Date" dataDxfId="12" totalsRowDxfId="11"/>
    <tableColumn id="3" xr3:uid="{8B882493-391C-47D9-B211-E66E2C22A476}" name="Invoice Number"/>
    <tableColumn id="4" xr3:uid="{F333562E-710F-4EC0-9E60-8291533FBE19}" name="Int/Ext"/>
    <tableColumn id="5" xr3:uid="{591474C3-B742-40ED-ACF9-EFA062611055}" name="MSP Fees %" dataDxfId="10" dataCellStyle="Percent"/>
    <tableColumn id="6" xr3:uid="{36E12AEA-42FB-4319-AAAF-0B496AF4AA94}" name="Total Billed Amount" dataDxfId="9" totalsRowDxfId="8"/>
    <tableColumn id="7" xr3:uid="{87C0BA19-4041-43C8-A175-697E76EA9777}" name="Net Billed Amount" totalsRowFunction="sum" dataDxfId="7" totalsRowDxfId="6">
      <calculatedColumnFormula>IF(Table1[[#This Row],[Int/Ext]]="Internal", Table1[[#This Row],[Total Billed Amount]],Table1[[#This Row],[Total Billed Amount]]*Table1[[#This Row],[MSP Fees %]])</calculatedColumnFormula>
    </tableColumn>
    <tableColumn id="8" xr3:uid="{5CBEFB01-A77F-4A77-8103-31459707A372}" name="Sum of Internal Rebate" totalsRowFunction="custom" dataDxfId="5" totalsRowDxfId="4">
      <calculatedColumnFormula>IF(Table1[[#This Row],[Int/Ext]]="Internal",$H$1*Table1[[#This Row],[Total Billed Amount]],0)</calculatedColumnFormula>
      <totalsRowFormula>SUBTOTAL(9,Table1[Sum of Internal Rebate])</totalsRowFormula>
    </tableColumn>
    <tableColumn id="9" xr3:uid="{4EC3BA15-156D-4507-AA7A-F9DA404D5DF3}" name="Sum of External Rebate" totalsRowFunction="custom" dataDxfId="3" totalsRowDxfId="2">
      <calculatedColumnFormula>IF(Table1[[#This Row],[Int/Ext]]="External",$I$1*Table1[[#This Row],[Net Billed Amount]],0)</calculatedColumnFormula>
      <totalsRowFormula>SUBTOTAL(9,Table1[Sum of External Rebate])</totalsRowFormula>
    </tableColumn>
    <tableColumn id="10" xr3:uid="{764A98AB-6D14-492A-B916-C93A2A1CDEC3}" name="Sum of Total Rebates" totalsRowFunction="sum" dataDxfId="1" totalsRowDxfId="0">
      <calculatedColumnFormula>SUM(Table1[[#This Row],[Sum of Internal Rebate]:[Sum of External Rebate]])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35BF-066E-4EFB-8781-B4D8B1F0D073}">
  <dimension ref="A1:J94"/>
  <sheetViews>
    <sheetView zoomScale="85" zoomScaleNormal="85" workbookViewId="0">
      <pane ySplit="2" topLeftCell="A52" activePane="bottomLeft" state="frozen"/>
      <selection pane="bottomLeft" activeCell="G100" sqref="G100"/>
    </sheetView>
  </sheetViews>
  <sheetFormatPr defaultRowHeight="15" x14ac:dyDescent="0.25"/>
  <cols>
    <col min="1" max="1" width="38.42578125" bestFit="1" customWidth="1"/>
    <col min="2" max="2" width="20" customWidth="1"/>
    <col min="3" max="3" width="17.7109375" bestFit="1" customWidth="1"/>
    <col min="4" max="5" width="18.7109375" bestFit="1" customWidth="1"/>
    <col min="6" max="6" width="19.28515625" customWidth="1"/>
    <col min="7" max="7" width="20.5703125" bestFit="1" customWidth="1"/>
    <col min="8" max="8" width="22.28515625" customWidth="1"/>
    <col min="9" max="9" width="22.7109375" customWidth="1"/>
    <col min="10" max="10" width="20.7109375" customWidth="1"/>
    <col min="11" max="11" width="16.28515625" bestFit="1" customWidth="1"/>
    <col min="12" max="12" width="14.28515625" bestFit="1" customWidth="1"/>
    <col min="13" max="13" width="21.7109375" bestFit="1" customWidth="1"/>
    <col min="14" max="14" width="22.28515625" bestFit="1" customWidth="1"/>
    <col min="15" max="17" width="26" bestFit="1" customWidth="1"/>
    <col min="18" max="18" width="22" bestFit="1" customWidth="1"/>
    <col min="19" max="19" width="28.42578125" bestFit="1" customWidth="1"/>
    <col min="20" max="20" width="28.7109375" bestFit="1" customWidth="1"/>
  </cols>
  <sheetData>
    <row r="1" spans="1:10" x14ac:dyDescent="0.25">
      <c r="E1" s="1"/>
      <c r="H1" s="2">
        <v>0.02</v>
      </c>
      <c r="I1" s="3">
        <v>0.2</v>
      </c>
    </row>
    <row r="2" spans="1:10" x14ac:dyDescent="0.25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0" x14ac:dyDescent="0.25">
      <c r="A3" t="s">
        <v>10</v>
      </c>
      <c r="B3" s="6">
        <v>45932</v>
      </c>
      <c r="C3" t="s">
        <v>11</v>
      </c>
      <c r="D3" t="s">
        <v>12</v>
      </c>
      <c r="E3" s="7">
        <v>0</v>
      </c>
      <c r="F3" s="8">
        <v>2152.5</v>
      </c>
      <c r="G3" s="9">
        <f>IF(Table1[[#This Row],[Int/Ext]]="Internal", Table1[[#This Row],[Total Billed Amount]],Table1[[#This Row],[Total Billed Amount]]*Table1[[#This Row],[MSP Fees %]])</f>
        <v>2152.5</v>
      </c>
      <c r="H3" s="9">
        <f>IF(Table1[[#This Row],[Int/Ext]]="Internal",$H$1*Table1[[#This Row],[Total Billed Amount]],0)</f>
        <v>43.050000000000004</v>
      </c>
      <c r="I3" s="9">
        <f>IF(Table1[[#This Row],[Int/Ext]]="External",$I$1*Table1[[#This Row],[Net Billed Amount]],0)</f>
        <v>0</v>
      </c>
      <c r="J3" s="9">
        <f>SUM(Table1[[#This Row],[Sum of Internal Rebate]:[Sum of External Rebate]])</f>
        <v>43.050000000000004</v>
      </c>
    </row>
    <row r="4" spans="1:10" x14ac:dyDescent="0.25">
      <c r="A4" t="s">
        <v>10</v>
      </c>
      <c r="B4" s="6">
        <v>45946</v>
      </c>
      <c r="C4" t="s">
        <v>13</v>
      </c>
      <c r="D4" t="s">
        <v>12</v>
      </c>
      <c r="E4" s="7">
        <v>0</v>
      </c>
      <c r="F4" s="8">
        <v>4360.8</v>
      </c>
      <c r="G4" s="9">
        <f>IF(Table1[[#This Row],[Int/Ext]]="Internal", Table1[[#This Row],[Total Billed Amount]],Table1[[#This Row],[Total Billed Amount]]*Table1[[#This Row],[MSP Fees %]])</f>
        <v>4360.8</v>
      </c>
      <c r="H4" s="9">
        <f>IF(Table1[[#This Row],[Int/Ext]]="Internal",$H$1*Table1[[#This Row],[Total Billed Amount]],0)</f>
        <v>87.216000000000008</v>
      </c>
      <c r="I4" s="9">
        <f>IF(Table1[[#This Row],[Int/Ext]]="External",$I$1*Table1[[#This Row],[Net Billed Amount]],0)</f>
        <v>0</v>
      </c>
      <c r="J4" s="9">
        <f>SUM(Table1[[#This Row],[Sum of Internal Rebate]:[Sum of External Rebate]])</f>
        <v>87.216000000000008</v>
      </c>
    </row>
    <row r="5" spans="1:10" x14ac:dyDescent="0.25">
      <c r="A5" t="s">
        <v>10</v>
      </c>
      <c r="B5" s="6">
        <v>45946</v>
      </c>
      <c r="C5" t="s">
        <v>14</v>
      </c>
      <c r="D5" t="s">
        <v>12</v>
      </c>
      <c r="E5" s="7">
        <v>0</v>
      </c>
      <c r="F5" s="8">
        <v>3623</v>
      </c>
      <c r="G5" s="9">
        <f>IF(Table1[[#This Row],[Int/Ext]]="Internal", Table1[[#This Row],[Total Billed Amount]],Table1[[#This Row],[Total Billed Amount]]*Table1[[#This Row],[MSP Fees %]])</f>
        <v>3623</v>
      </c>
      <c r="H5" s="9">
        <f>IF(Table1[[#This Row],[Int/Ext]]="Internal",$H$1*Table1[[#This Row],[Total Billed Amount]],0)</f>
        <v>72.460000000000008</v>
      </c>
      <c r="I5" s="9">
        <f>IF(Table1[[#This Row],[Int/Ext]]="External",$I$1*Table1[[#This Row],[Net Billed Amount]],0)</f>
        <v>0</v>
      </c>
      <c r="J5" s="9">
        <f>SUM(Table1[[#This Row],[Sum of Internal Rebate]:[Sum of External Rebate]])</f>
        <v>72.460000000000008</v>
      </c>
    </row>
    <row r="6" spans="1:10" x14ac:dyDescent="0.25">
      <c r="A6" t="s">
        <v>10</v>
      </c>
      <c r="B6" s="6">
        <v>45953</v>
      </c>
      <c r="C6" t="s">
        <v>15</v>
      </c>
      <c r="D6" t="s">
        <v>12</v>
      </c>
      <c r="E6" s="7">
        <v>0</v>
      </c>
      <c r="F6" s="8">
        <v>4323.6000000000004</v>
      </c>
      <c r="G6" s="9">
        <f>IF(Table1[[#This Row],[Int/Ext]]="Internal", Table1[[#This Row],[Total Billed Amount]],Table1[[#This Row],[Total Billed Amount]]*Table1[[#This Row],[MSP Fees %]])</f>
        <v>4323.6000000000004</v>
      </c>
      <c r="H6" s="9">
        <f>IF(Table1[[#This Row],[Int/Ext]]="Internal",$H$1*Table1[[#This Row],[Total Billed Amount]],0)</f>
        <v>86.472000000000008</v>
      </c>
      <c r="I6" s="9">
        <f>IF(Table1[[#This Row],[Int/Ext]]="External",$I$1*Table1[[#This Row],[Net Billed Amount]],0)</f>
        <v>0</v>
      </c>
      <c r="J6" s="9">
        <f>SUM(Table1[[#This Row],[Sum of Internal Rebate]:[Sum of External Rebate]])</f>
        <v>86.472000000000008</v>
      </c>
    </row>
    <row r="7" spans="1:10" x14ac:dyDescent="0.25">
      <c r="A7" t="s">
        <v>10</v>
      </c>
      <c r="B7" s="6">
        <v>45953</v>
      </c>
      <c r="C7" t="s">
        <v>16</v>
      </c>
      <c r="D7" t="s">
        <v>12</v>
      </c>
      <c r="E7" s="7">
        <v>0</v>
      </c>
      <c r="F7" s="8">
        <v>3831.45</v>
      </c>
      <c r="G7" s="9">
        <f>IF(Table1[[#This Row],[Int/Ext]]="Internal", Table1[[#This Row],[Total Billed Amount]],Table1[[#This Row],[Total Billed Amount]]*Table1[[#This Row],[MSP Fees %]])</f>
        <v>3831.45</v>
      </c>
      <c r="H7" s="9">
        <f>IF(Table1[[#This Row],[Int/Ext]]="Internal",$H$1*Table1[[#This Row],[Total Billed Amount]],0)</f>
        <v>76.629000000000005</v>
      </c>
      <c r="I7" s="9">
        <f>IF(Table1[[#This Row],[Int/Ext]]="External",$I$1*Table1[[#This Row],[Net Billed Amount]],0)</f>
        <v>0</v>
      </c>
      <c r="J7" s="9">
        <f>SUM(Table1[[#This Row],[Sum of Internal Rebate]:[Sum of External Rebate]])</f>
        <v>76.629000000000005</v>
      </c>
    </row>
    <row r="8" spans="1:10" x14ac:dyDescent="0.25">
      <c r="A8" t="s">
        <v>10</v>
      </c>
      <c r="B8" s="6">
        <v>45960</v>
      </c>
      <c r="C8" t="s">
        <v>17</v>
      </c>
      <c r="D8" t="s">
        <v>12</v>
      </c>
      <c r="E8" s="7">
        <v>0</v>
      </c>
      <c r="F8" s="8">
        <v>4339.2000000000007</v>
      </c>
      <c r="G8" s="9">
        <f>IF(Table1[[#This Row],[Int/Ext]]="Internal", Table1[[#This Row],[Total Billed Amount]],Table1[[#This Row],[Total Billed Amount]]*Table1[[#This Row],[MSP Fees %]])</f>
        <v>4339.2000000000007</v>
      </c>
      <c r="H8" s="9">
        <f>IF(Table1[[#This Row],[Int/Ext]]="Internal",$H$1*Table1[[#This Row],[Total Billed Amount]],0)</f>
        <v>86.78400000000002</v>
      </c>
      <c r="I8" s="9">
        <f>IF(Table1[[#This Row],[Int/Ext]]="External",$I$1*Table1[[#This Row],[Net Billed Amount]],0)</f>
        <v>0</v>
      </c>
      <c r="J8" s="9">
        <f>SUM(Table1[[#This Row],[Sum of Internal Rebate]:[Sum of External Rebate]])</f>
        <v>86.78400000000002</v>
      </c>
    </row>
    <row r="9" spans="1:10" x14ac:dyDescent="0.25">
      <c r="A9" t="s">
        <v>10</v>
      </c>
      <c r="B9" s="6">
        <v>45960</v>
      </c>
      <c r="C9" t="s">
        <v>18</v>
      </c>
      <c r="D9" t="s">
        <v>12</v>
      </c>
      <c r="E9" s="7">
        <v>0</v>
      </c>
      <c r="F9" s="8">
        <v>3848.2499999999995</v>
      </c>
      <c r="G9" s="9">
        <f>IF(Table1[[#This Row],[Int/Ext]]="Internal", Table1[[#This Row],[Total Billed Amount]],Table1[[#This Row],[Total Billed Amount]]*Table1[[#This Row],[MSP Fees %]])</f>
        <v>3848.2499999999995</v>
      </c>
      <c r="H9" s="9">
        <f>IF(Table1[[#This Row],[Int/Ext]]="Internal",$H$1*Table1[[#This Row],[Total Billed Amount]],0)</f>
        <v>76.964999999999989</v>
      </c>
      <c r="I9" s="9">
        <f>IF(Table1[[#This Row],[Int/Ext]]="External",$I$1*Table1[[#This Row],[Net Billed Amount]],0)</f>
        <v>0</v>
      </c>
      <c r="J9" s="9">
        <f>SUM(Table1[[#This Row],[Sum of Internal Rebate]:[Sum of External Rebate]])</f>
        <v>76.964999999999989</v>
      </c>
    </row>
    <row r="10" spans="1:10" x14ac:dyDescent="0.25">
      <c r="A10" t="s">
        <v>10</v>
      </c>
      <c r="B10" s="6">
        <v>45971</v>
      </c>
      <c r="C10" t="s">
        <v>19</v>
      </c>
      <c r="D10" t="s">
        <v>12</v>
      </c>
      <c r="E10" s="7">
        <v>0</v>
      </c>
      <c r="F10" s="8">
        <v>4316.3999999999996</v>
      </c>
      <c r="G10" s="9">
        <f>IF(Table1[[#This Row],[Int/Ext]]="Internal", Table1[[#This Row],[Total Billed Amount]],Table1[[#This Row],[Total Billed Amount]]*Table1[[#This Row],[MSP Fees %]])</f>
        <v>4316.3999999999996</v>
      </c>
      <c r="H10" s="9">
        <f>IF(Table1[[#This Row],[Int/Ext]]="Internal",$H$1*Table1[[#This Row],[Total Billed Amount]],0)</f>
        <v>86.327999999999989</v>
      </c>
      <c r="I10" s="9">
        <f>IF(Table1[[#This Row],[Int/Ext]]="External",$I$1*Table1[[#This Row],[Net Billed Amount]],0)</f>
        <v>0</v>
      </c>
      <c r="J10" s="9">
        <f>SUM(Table1[[#This Row],[Sum of Internal Rebate]:[Sum of External Rebate]])</f>
        <v>86.327999999999989</v>
      </c>
    </row>
    <row r="11" spans="1:10" x14ac:dyDescent="0.25">
      <c r="A11" t="s">
        <v>10</v>
      </c>
      <c r="B11" s="6">
        <v>45971</v>
      </c>
      <c r="C11" t="s">
        <v>20</v>
      </c>
      <c r="D11" t="s">
        <v>12</v>
      </c>
      <c r="E11" s="7">
        <v>0</v>
      </c>
      <c r="F11" s="8">
        <v>3896.55</v>
      </c>
      <c r="G11" s="9">
        <f>IF(Table1[[#This Row],[Int/Ext]]="Internal", Table1[[#This Row],[Total Billed Amount]],Table1[[#This Row],[Total Billed Amount]]*Table1[[#This Row],[MSP Fees %]])</f>
        <v>3896.55</v>
      </c>
      <c r="H11" s="9">
        <f>IF(Table1[[#This Row],[Int/Ext]]="Internal",$H$1*Table1[[#This Row],[Total Billed Amount]],0)</f>
        <v>77.931000000000012</v>
      </c>
      <c r="I11" s="9">
        <f>IF(Table1[[#This Row],[Int/Ext]]="External",$I$1*Table1[[#This Row],[Net Billed Amount]],0)</f>
        <v>0</v>
      </c>
      <c r="J11" s="9">
        <f>SUM(Table1[[#This Row],[Sum of Internal Rebate]:[Sum of External Rebate]])</f>
        <v>77.931000000000012</v>
      </c>
    </row>
    <row r="12" spans="1:10" x14ac:dyDescent="0.25">
      <c r="A12" t="s">
        <v>10</v>
      </c>
      <c r="B12" s="6">
        <v>45974</v>
      </c>
      <c r="C12" t="s">
        <v>21</v>
      </c>
      <c r="D12" t="s">
        <v>12</v>
      </c>
      <c r="E12" s="7">
        <v>0</v>
      </c>
      <c r="F12" s="8">
        <v>4317.6000000000004</v>
      </c>
      <c r="G12" s="9">
        <f>IF(Table1[[#This Row],[Int/Ext]]="Internal", Table1[[#This Row],[Total Billed Amount]],Table1[[#This Row],[Total Billed Amount]]*Table1[[#This Row],[MSP Fees %]])</f>
        <v>4317.6000000000004</v>
      </c>
      <c r="H12" s="9">
        <f>IF(Table1[[#This Row],[Int/Ext]]="Internal",$H$1*Table1[[#This Row],[Total Billed Amount]],0)</f>
        <v>86.352000000000004</v>
      </c>
      <c r="I12" s="9">
        <f>IF(Table1[[#This Row],[Int/Ext]]="External",$I$1*Table1[[#This Row],[Net Billed Amount]],0)</f>
        <v>0</v>
      </c>
      <c r="J12" s="9">
        <f>SUM(Table1[[#This Row],[Sum of Internal Rebate]:[Sum of External Rebate]])</f>
        <v>86.352000000000004</v>
      </c>
    </row>
    <row r="13" spans="1:10" x14ac:dyDescent="0.25">
      <c r="A13" t="s">
        <v>10</v>
      </c>
      <c r="B13" s="6">
        <v>45974</v>
      </c>
      <c r="C13" t="s">
        <v>22</v>
      </c>
      <c r="D13" t="s">
        <v>12</v>
      </c>
      <c r="E13" s="10">
        <v>0</v>
      </c>
      <c r="F13" s="8">
        <v>3840.9</v>
      </c>
      <c r="G13" s="9">
        <f>IF(Table1[[#This Row],[Int/Ext]]="Internal", Table1[[#This Row],[Total Billed Amount]],Table1[[#This Row],[Total Billed Amount]]*Table1[[#This Row],[MSP Fees %]])</f>
        <v>3840.9</v>
      </c>
      <c r="H13" s="9">
        <f>IF(Table1[[#This Row],[Int/Ext]]="Internal",$H$1*Table1[[#This Row],[Total Billed Amount]],0)</f>
        <v>76.817999999999998</v>
      </c>
      <c r="I13" s="9">
        <f>IF(Table1[[#This Row],[Int/Ext]]="External",$I$1*Table1[[#This Row],[Net Billed Amount]],0)</f>
        <v>0</v>
      </c>
      <c r="J13" s="9">
        <f>SUM(Table1[[#This Row],[Sum of Internal Rebate]:[Sum of External Rebate]])</f>
        <v>76.817999999999998</v>
      </c>
    </row>
    <row r="14" spans="1:10" x14ac:dyDescent="0.25">
      <c r="A14" t="s">
        <v>10</v>
      </c>
      <c r="B14" s="6">
        <v>45981</v>
      </c>
      <c r="C14" t="s">
        <v>23</v>
      </c>
      <c r="D14" t="s">
        <v>12</v>
      </c>
      <c r="E14" s="10">
        <v>0</v>
      </c>
      <c r="F14" s="8">
        <v>4370.3999999999996</v>
      </c>
      <c r="G14" s="9">
        <f>IF(Table1[[#This Row],[Int/Ext]]="Internal", Table1[[#This Row],[Total Billed Amount]],Table1[[#This Row],[Total Billed Amount]]*Table1[[#This Row],[MSP Fees %]])</f>
        <v>4370.3999999999996</v>
      </c>
      <c r="H14" s="9">
        <f>IF(Table1[[#This Row],[Int/Ext]]="Internal",$H$1*Table1[[#This Row],[Total Billed Amount]],0)</f>
        <v>87.408000000000001</v>
      </c>
      <c r="I14" s="9">
        <f>IF(Table1[[#This Row],[Int/Ext]]="External",$I$1*Table1[[#This Row],[Net Billed Amount]],0)</f>
        <v>0</v>
      </c>
      <c r="J14" s="9">
        <f>SUM(Table1[[#This Row],[Sum of Internal Rebate]:[Sum of External Rebate]])</f>
        <v>87.408000000000001</v>
      </c>
    </row>
    <row r="15" spans="1:10" x14ac:dyDescent="0.25">
      <c r="A15" t="s">
        <v>10</v>
      </c>
      <c r="B15" s="6">
        <v>45981</v>
      </c>
      <c r="C15" t="s">
        <v>24</v>
      </c>
      <c r="D15" t="s">
        <v>12</v>
      </c>
      <c r="E15" s="10">
        <v>0</v>
      </c>
      <c r="F15" s="8">
        <v>3855.6</v>
      </c>
      <c r="G15" s="9">
        <f>IF(Table1[[#This Row],[Int/Ext]]="Internal", Table1[[#This Row],[Total Billed Amount]],Table1[[#This Row],[Total Billed Amount]]*Table1[[#This Row],[MSP Fees %]])</f>
        <v>3855.6</v>
      </c>
      <c r="H15" s="9">
        <f>IF(Table1[[#This Row],[Int/Ext]]="Internal",$H$1*Table1[[#This Row],[Total Billed Amount]],0)</f>
        <v>77.111999999999995</v>
      </c>
      <c r="I15" s="9">
        <f>IF(Table1[[#This Row],[Int/Ext]]="External",$I$1*Table1[[#This Row],[Net Billed Amount]],0)</f>
        <v>0</v>
      </c>
      <c r="J15" s="9">
        <f>SUM(Table1[[#This Row],[Sum of Internal Rebate]:[Sum of External Rebate]])</f>
        <v>77.111999999999995</v>
      </c>
    </row>
    <row r="16" spans="1:10" x14ac:dyDescent="0.25">
      <c r="A16" t="s">
        <v>10</v>
      </c>
      <c r="B16" s="6">
        <v>45992</v>
      </c>
      <c r="C16" t="s">
        <v>25</v>
      </c>
      <c r="D16" t="s">
        <v>12</v>
      </c>
      <c r="E16" s="10">
        <v>0</v>
      </c>
      <c r="F16" s="8">
        <v>4375.2000000000007</v>
      </c>
      <c r="G16" s="9">
        <f>IF(Table1[[#This Row],[Int/Ext]]="Internal", Table1[[#This Row],[Total Billed Amount]],Table1[[#This Row],[Total Billed Amount]]*Table1[[#This Row],[MSP Fees %]])</f>
        <v>4375.2000000000007</v>
      </c>
      <c r="H16" s="9">
        <f>IF(Table1[[#This Row],[Int/Ext]]="Internal",$H$1*Table1[[#This Row],[Total Billed Amount]],0)</f>
        <v>87.504000000000019</v>
      </c>
      <c r="I16" s="9">
        <f>IF(Table1[[#This Row],[Int/Ext]]="External",$I$1*Table1[[#This Row],[Net Billed Amount]],0)</f>
        <v>0</v>
      </c>
      <c r="J16" s="9">
        <f>SUM(Table1[[#This Row],[Sum of Internal Rebate]:[Sum of External Rebate]])</f>
        <v>87.504000000000019</v>
      </c>
    </row>
    <row r="17" spans="1:10" x14ac:dyDescent="0.25">
      <c r="A17" t="s">
        <v>10</v>
      </c>
      <c r="B17" s="6">
        <v>45992</v>
      </c>
      <c r="C17" t="s">
        <v>26</v>
      </c>
      <c r="D17" t="s">
        <v>12</v>
      </c>
      <c r="E17" s="10">
        <v>0</v>
      </c>
      <c r="F17" s="8">
        <v>2887.5</v>
      </c>
      <c r="G17" s="9">
        <f>IF(Table1[[#This Row],[Int/Ext]]="Internal", Table1[[#This Row],[Total Billed Amount]],Table1[[#This Row],[Total Billed Amount]]*Table1[[#This Row],[MSP Fees %]])</f>
        <v>2887.5</v>
      </c>
      <c r="H17" s="9">
        <f>IF(Table1[[#This Row],[Int/Ext]]="Internal",$H$1*Table1[[#This Row],[Total Billed Amount]],0)</f>
        <v>57.75</v>
      </c>
      <c r="I17" s="9">
        <f>IF(Table1[[#This Row],[Int/Ext]]="External",$I$1*Table1[[#This Row],[Net Billed Amount]],0)</f>
        <v>0</v>
      </c>
      <c r="J17" s="9">
        <f>SUM(Table1[[#This Row],[Sum of Internal Rebate]:[Sum of External Rebate]])</f>
        <v>57.75</v>
      </c>
    </row>
    <row r="18" spans="1:10" x14ac:dyDescent="0.25">
      <c r="A18" t="s">
        <v>10</v>
      </c>
      <c r="B18" s="6">
        <v>46002</v>
      </c>
      <c r="C18" t="s">
        <v>27</v>
      </c>
      <c r="D18" t="s">
        <v>12</v>
      </c>
      <c r="E18" s="10">
        <v>0</v>
      </c>
      <c r="F18" s="8">
        <v>4630.8000000000011</v>
      </c>
      <c r="G18" s="9">
        <f>IF(Table1[[#This Row],[Int/Ext]]="Internal", Table1[[#This Row],[Total Billed Amount]],Table1[[#This Row],[Total Billed Amount]]*Table1[[#This Row],[MSP Fees %]])</f>
        <v>4630.8000000000011</v>
      </c>
      <c r="H18" s="9">
        <f>IF(Table1[[#This Row],[Int/Ext]]="Internal",$H$1*Table1[[#This Row],[Total Billed Amount]],0)</f>
        <v>92.616000000000028</v>
      </c>
      <c r="I18" s="9">
        <f>IF(Table1[[#This Row],[Int/Ext]]="External",$I$1*Table1[[#This Row],[Net Billed Amount]],0)</f>
        <v>0</v>
      </c>
      <c r="J18" s="9">
        <f>SUM(Table1[[#This Row],[Sum of Internal Rebate]:[Sum of External Rebate]])</f>
        <v>92.616000000000028</v>
      </c>
    </row>
    <row r="19" spans="1:10" x14ac:dyDescent="0.25">
      <c r="A19" t="s">
        <v>10</v>
      </c>
      <c r="B19" s="6">
        <v>46002</v>
      </c>
      <c r="C19" t="s">
        <v>28</v>
      </c>
      <c r="D19" t="s">
        <v>12</v>
      </c>
      <c r="E19" s="10">
        <v>0</v>
      </c>
      <c r="F19" s="8">
        <v>3648.7499999999995</v>
      </c>
      <c r="G19" s="9">
        <f>IF(Table1[[#This Row],[Int/Ext]]="Internal", Table1[[#This Row],[Total Billed Amount]],Table1[[#This Row],[Total Billed Amount]]*Table1[[#This Row],[MSP Fees %]])</f>
        <v>3648.7499999999995</v>
      </c>
      <c r="H19" s="9">
        <f>IF(Table1[[#This Row],[Int/Ext]]="Internal",$H$1*Table1[[#This Row],[Total Billed Amount]],0)</f>
        <v>72.974999999999994</v>
      </c>
      <c r="I19" s="9">
        <f>IF(Table1[[#This Row],[Int/Ext]]="External",$I$1*Table1[[#This Row],[Net Billed Amount]],0)</f>
        <v>0</v>
      </c>
      <c r="J19" s="9">
        <f>SUM(Table1[[#This Row],[Sum of Internal Rebate]:[Sum of External Rebate]])</f>
        <v>72.974999999999994</v>
      </c>
    </row>
    <row r="20" spans="1:10" x14ac:dyDescent="0.25">
      <c r="A20" t="s">
        <v>10</v>
      </c>
      <c r="B20" s="6">
        <v>46002</v>
      </c>
      <c r="C20" t="s">
        <v>29</v>
      </c>
      <c r="D20" t="s">
        <v>12</v>
      </c>
      <c r="E20" s="10">
        <v>0</v>
      </c>
      <c r="F20" s="8">
        <v>3924.38</v>
      </c>
      <c r="G20" s="9">
        <f>IF(Table1[[#This Row],[Int/Ext]]="Internal", Table1[[#This Row],[Total Billed Amount]],Table1[[#This Row],[Total Billed Amount]]*Table1[[#This Row],[MSP Fees %]])</f>
        <v>3924.38</v>
      </c>
      <c r="H20" s="9">
        <f>IF(Table1[[#This Row],[Int/Ext]]="Internal",$H$1*Table1[[#This Row],[Total Billed Amount]],0)</f>
        <v>78.4876</v>
      </c>
      <c r="I20" s="9">
        <f>IF(Table1[[#This Row],[Int/Ext]]="External",$I$1*Table1[[#This Row],[Net Billed Amount]],0)</f>
        <v>0</v>
      </c>
      <c r="J20" s="9">
        <f>SUM(Table1[[#This Row],[Sum of Internal Rebate]:[Sum of External Rebate]])</f>
        <v>78.4876</v>
      </c>
    </row>
    <row r="21" spans="1:10" x14ac:dyDescent="0.25">
      <c r="A21" t="s">
        <v>10</v>
      </c>
      <c r="B21" s="6">
        <v>46009</v>
      </c>
      <c r="C21" t="s">
        <v>30</v>
      </c>
      <c r="D21" t="s">
        <v>12</v>
      </c>
      <c r="E21" s="10">
        <v>0</v>
      </c>
      <c r="F21" s="8">
        <v>3830.3999999999996</v>
      </c>
      <c r="G21" s="9">
        <f>IF(Table1[[#This Row],[Int/Ext]]="Internal", Table1[[#This Row],[Total Billed Amount]],Table1[[#This Row],[Total Billed Amount]]*Table1[[#This Row],[MSP Fees %]])</f>
        <v>3830.3999999999996</v>
      </c>
      <c r="H21" s="9">
        <f>IF(Table1[[#This Row],[Int/Ext]]="Internal",$H$1*Table1[[#This Row],[Total Billed Amount]],0)</f>
        <v>76.60799999999999</v>
      </c>
      <c r="I21" s="9">
        <f>IF(Table1[[#This Row],[Int/Ext]]="External",$I$1*Table1[[#This Row],[Net Billed Amount]],0)</f>
        <v>0</v>
      </c>
      <c r="J21" s="9">
        <f>SUM(Table1[[#This Row],[Sum of Internal Rebate]:[Sum of External Rebate]])</f>
        <v>76.60799999999999</v>
      </c>
    </row>
    <row r="22" spans="1:10" x14ac:dyDescent="0.25">
      <c r="A22" t="s">
        <v>10</v>
      </c>
      <c r="B22" s="6">
        <v>46009</v>
      </c>
      <c r="C22" t="s">
        <v>31</v>
      </c>
      <c r="D22" t="s">
        <v>12</v>
      </c>
      <c r="E22" s="10">
        <v>0</v>
      </c>
      <c r="F22" s="8">
        <v>3773.7</v>
      </c>
      <c r="G22" s="9">
        <f>IF(Table1[[#This Row],[Int/Ext]]="Internal", Table1[[#This Row],[Total Billed Amount]],Table1[[#This Row],[Total Billed Amount]]*Table1[[#This Row],[MSP Fees %]])</f>
        <v>3773.7</v>
      </c>
      <c r="H22" s="9">
        <f>IF(Table1[[#This Row],[Int/Ext]]="Internal",$H$1*Table1[[#This Row],[Total Billed Amount]],0)</f>
        <v>75.474000000000004</v>
      </c>
      <c r="I22" s="9">
        <f>IF(Table1[[#This Row],[Int/Ext]]="External",$I$1*Table1[[#This Row],[Net Billed Amount]],0)</f>
        <v>0</v>
      </c>
      <c r="J22" s="9">
        <f>SUM(Table1[[#This Row],[Sum of Internal Rebate]:[Sum of External Rebate]])</f>
        <v>75.474000000000004</v>
      </c>
    </row>
    <row r="23" spans="1:10" x14ac:dyDescent="0.25">
      <c r="A23" t="s">
        <v>10</v>
      </c>
      <c r="B23" s="6">
        <v>46009</v>
      </c>
      <c r="C23" t="s">
        <v>32</v>
      </c>
      <c r="D23" t="s">
        <v>12</v>
      </c>
      <c r="E23" s="10">
        <v>0</v>
      </c>
      <c r="F23" s="8">
        <v>3622.5</v>
      </c>
      <c r="G23" s="9">
        <f>IF(Table1[[#This Row],[Int/Ext]]="Internal", Table1[[#This Row],[Total Billed Amount]],Table1[[#This Row],[Total Billed Amount]]*Table1[[#This Row],[MSP Fees %]])</f>
        <v>3622.5</v>
      </c>
      <c r="H23" s="9">
        <f>IF(Table1[[#This Row],[Int/Ext]]="Internal",$H$1*Table1[[#This Row],[Total Billed Amount]],0)</f>
        <v>72.45</v>
      </c>
      <c r="I23" s="9">
        <f>IF(Table1[[#This Row],[Int/Ext]]="External",$I$1*Table1[[#This Row],[Net Billed Amount]],0)</f>
        <v>0</v>
      </c>
      <c r="J23" s="9">
        <f>SUM(Table1[[#This Row],[Sum of Internal Rebate]:[Sum of External Rebate]])</f>
        <v>72.45</v>
      </c>
    </row>
    <row r="24" spans="1:10" x14ac:dyDescent="0.25">
      <c r="A24" t="s">
        <v>10</v>
      </c>
      <c r="B24" s="6">
        <v>46020</v>
      </c>
      <c r="C24" t="s">
        <v>33</v>
      </c>
      <c r="D24" t="s">
        <v>12</v>
      </c>
      <c r="E24" s="10">
        <v>0</v>
      </c>
      <c r="F24" s="8">
        <v>3827.25</v>
      </c>
      <c r="G24" s="9">
        <f>IF(Table1[[#This Row],[Int/Ext]]="Internal", Table1[[#This Row],[Total Billed Amount]],Table1[[#This Row],[Total Billed Amount]]*Table1[[#This Row],[MSP Fees %]])</f>
        <v>3827.25</v>
      </c>
      <c r="H24" s="9">
        <f>IF(Table1[[#This Row],[Int/Ext]]="Internal",$H$1*Table1[[#This Row],[Total Billed Amount]],0)</f>
        <v>76.545000000000002</v>
      </c>
      <c r="I24" s="9">
        <f>IF(Table1[[#This Row],[Int/Ext]]="External",$I$1*Table1[[#This Row],[Net Billed Amount]],0)</f>
        <v>0</v>
      </c>
      <c r="J24" s="9">
        <f>SUM(Table1[[#This Row],[Sum of Internal Rebate]:[Sum of External Rebate]])</f>
        <v>76.545000000000002</v>
      </c>
    </row>
    <row r="25" spans="1:10" x14ac:dyDescent="0.25">
      <c r="A25" t="s">
        <v>10</v>
      </c>
      <c r="B25" s="6">
        <v>46020</v>
      </c>
      <c r="C25" t="s">
        <v>34</v>
      </c>
      <c r="D25" t="s">
        <v>12</v>
      </c>
      <c r="E25" s="10">
        <v>0</v>
      </c>
      <c r="F25" s="8">
        <v>3675</v>
      </c>
      <c r="G25" s="9">
        <f>IF(Table1[[#This Row],[Int/Ext]]="Internal", Table1[[#This Row],[Total Billed Amount]],Table1[[#This Row],[Total Billed Amount]]*Table1[[#This Row],[MSP Fees %]])</f>
        <v>3675</v>
      </c>
      <c r="H25" s="9">
        <f>IF(Table1[[#This Row],[Int/Ext]]="Internal",$H$1*Table1[[#This Row],[Total Billed Amount]],0)</f>
        <v>73.5</v>
      </c>
      <c r="I25" s="9">
        <f>IF(Table1[[#This Row],[Int/Ext]]="External",$I$1*Table1[[#This Row],[Net Billed Amount]],0)</f>
        <v>0</v>
      </c>
      <c r="J25" s="9">
        <f>SUM(Table1[[#This Row],[Sum of Internal Rebate]:[Sum of External Rebate]])</f>
        <v>73.5</v>
      </c>
    </row>
    <row r="26" spans="1:10" x14ac:dyDescent="0.25">
      <c r="A26" t="s">
        <v>35</v>
      </c>
      <c r="B26" s="6">
        <v>45932</v>
      </c>
      <c r="C26" t="s">
        <v>36</v>
      </c>
      <c r="D26" t="s">
        <v>12</v>
      </c>
      <c r="E26" s="10">
        <v>0</v>
      </c>
      <c r="F26" s="8">
        <v>3792</v>
      </c>
      <c r="G26" s="9">
        <f>IF(Table1[[#This Row],[Int/Ext]]="Internal", Table1[[#This Row],[Total Billed Amount]],Table1[[#This Row],[Total Billed Amount]]*Table1[[#This Row],[MSP Fees %]])</f>
        <v>3792</v>
      </c>
      <c r="H26" s="9">
        <f>IF(Table1[[#This Row],[Int/Ext]]="Internal",$H$1*Table1[[#This Row],[Total Billed Amount]],0)</f>
        <v>75.84</v>
      </c>
      <c r="I26" s="9">
        <f>IF(Table1[[#This Row],[Int/Ext]]="External",$I$1*Table1[[#This Row],[Net Billed Amount]],0)</f>
        <v>0</v>
      </c>
      <c r="J26" s="9">
        <f>SUM(Table1[[#This Row],[Sum of Internal Rebate]:[Sum of External Rebate]])</f>
        <v>75.84</v>
      </c>
    </row>
    <row r="27" spans="1:10" x14ac:dyDescent="0.25">
      <c r="A27" t="s">
        <v>35</v>
      </c>
      <c r="B27" s="6">
        <v>45946</v>
      </c>
      <c r="C27" t="s">
        <v>37</v>
      </c>
      <c r="D27" t="s">
        <v>12</v>
      </c>
      <c r="E27" s="10">
        <v>0</v>
      </c>
      <c r="F27" s="8">
        <v>3705.6</v>
      </c>
      <c r="G27" s="9">
        <f>IF(Table1[[#This Row],[Int/Ext]]="Internal", Table1[[#This Row],[Total Billed Amount]],Table1[[#This Row],[Total Billed Amount]]*Table1[[#This Row],[MSP Fees %]])</f>
        <v>3705.6</v>
      </c>
      <c r="H27" s="9">
        <f>IF(Table1[[#This Row],[Int/Ext]]="Internal",$H$1*Table1[[#This Row],[Total Billed Amount]],0)</f>
        <v>74.111999999999995</v>
      </c>
      <c r="I27" s="9">
        <f>IF(Table1[[#This Row],[Int/Ext]]="External",$I$1*Table1[[#This Row],[Net Billed Amount]],0)</f>
        <v>0</v>
      </c>
      <c r="J27" s="9">
        <f>SUM(Table1[[#This Row],[Sum of Internal Rebate]:[Sum of External Rebate]])</f>
        <v>74.111999999999995</v>
      </c>
    </row>
    <row r="28" spans="1:10" x14ac:dyDescent="0.25">
      <c r="A28" t="s">
        <v>35</v>
      </c>
      <c r="B28" s="6">
        <v>45953</v>
      </c>
      <c r="C28" t="s">
        <v>38</v>
      </c>
      <c r="D28" t="s">
        <v>12</v>
      </c>
      <c r="E28" s="10">
        <v>0</v>
      </c>
      <c r="F28" s="8">
        <v>3699.84</v>
      </c>
      <c r="G28" s="9">
        <f>IF(Table1[[#This Row],[Int/Ext]]="Internal", Table1[[#This Row],[Total Billed Amount]],Table1[[#This Row],[Total Billed Amount]]*Table1[[#This Row],[MSP Fees %]])</f>
        <v>3699.84</v>
      </c>
      <c r="H28" s="9">
        <f>IF(Table1[[#This Row],[Int/Ext]]="Internal",$H$1*Table1[[#This Row],[Total Billed Amount]],0)</f>
        <v>73.996800000000007</v>
      </c>
      <c r="I28" s="9">
        <f>IF(Table1[[#This Row],[Int/Ext]]="External",$I$1*Table1[[#This Row],[Net Billed Amount]],0)</f>
        <v>0</v>
      </c>
      <c r="J28" s="9">
        <f>SUM(Table1[[#This Row],[Sum of Internal Rebate]:[Sum of External Rebate]])</f>
        <v>73.996800000000007</v>
      </c>
    </row>
    <row r="29" spans="1:10" x14ac:dyDescent="0.25">
      <c r="A29" t="s">
        <v>35</v>
      </c>
      <c r="B29" s="6">
        <v>45953</v>
      </c>
      <c r="C29" t="s">
        <v>39</v>
      </c>
      <c r="D29" t="s">
        <v>12</v>
      </c>
      <c r="E29" s="10">
        <v>0</v>
      </c>
      <c r="F29" s="8">
        <v>3601.92</v>
      </c>
      <c r="G29" s="9">
        <f>IF(Table1[[#This Row],[Int/Ext]]="Internal", Table1[[#This Row],[Total Billed Amount]],Table1[[#This Row],[Total Billed Amount]]*Table1[[#This Row],[MSP Fees %]])</f>
        <v>3601.92</v>
      </c>
      <c r="H29" s="9">
        <f>IF(Table1[[#This Row],[Int/Ext]]="Internal",$H$1*Table1[[#This Row],[Total Billed Amount]],0)</f>
        <v>72.03840000000001</v>
      </c>
      <c r="I29" s="9">
        <f>IF(Table1[[#This Row],[Int/Ext]]="External",$I$1*Table1[[#This Row],[Net Billed Amount]],0)</f>
        <v>0</v>
      </c>
      <c r="J29" s="9">
        <f>SUM(Table1[[#This Row],[Sum of Internal Rebate]:[Sum of External Rebate]])</f>
        <v>72.03840000000001</v>
      </c>
    </row>
    <row r="30" spans="1:10" x14ac:dyDescent="0.25">
      <c r="A30" t="s">
        <v>35</v>
      </c>
      <c r="B30" s="6">
        <v>45960</v>
      </c>
      <c r="C30" t="s">
        <v>40</v>
      </c>
      <c r="D30" t="s">
        <v>12</v>
      </c>
      <c r="E30" s="10">
        <v>0</v>
      </c>
      <c r="F30" s="8">
        <v>3603.84</v>
      </c>
      <c r="G30" s="9">
        <f>IF(Table1[[#This Row],[Int/Ext]]="Internal", Table1[[#This Row],[Total Billed Amount]],Table1[[#This Row],[Total Billed Amount]]*Table1[[#This Row],[MSP Fees %]])</f>
        <v>3603.84</v>
      </c>
      <c r="H30" s="9">
        <f>IF(Table1[[#This Row],[Int/Ext]]="Internal",$H$1*Table1[[#This Row],[Total Billed Amount]],0)</f>
        <v>72.076800000000006</v>
      </c>
      <c r="I30" s="9">
        <f>IF(Table1[[#This Row],[Int/Ext]]="External",$I$1*Table1[[#This Row],[Net Billed Amount]],0)</f>
        <v>0</v>
      </c>
      <c r="J30" s="9">
        <f>SUM(Table1[[#This Row],[Sum of Internal Rebate]:[Sum of External Rebate]])</f>
        <v>72.076800000000006</v>
      </c>
    </row>
    <row r="31" spans="1:10" x14ac:dyDescent="0.25">
      <c r="A31" t="s">
        <v>35</v>
      </c>
      <c r="B31" s="6">
        <v>45974</v>
      </c>
      <c r="C31" t="s">
        <v>41</v>
      </c>
      <c r="D31" t="s">
        <v>12</v>
      </c>
      <c r="E31" s="10">
        <v>0</v>
      </c>
      <c r="F31" s="8">
        <v>3600</v>
      </c>
      <c r="G31" s="9">
        <f>IF(Table1[[#This Row],[Int/Ext]]="Internal", Table1[[#This Row],[Total Billed Amount]],Table1[[#This Row],[Total Billed Amount]]*Table1[[#This Row],[MSP Fees %]])</f>
        <v>3600</v>
      </c>
      <c r="H31" s="9">
        <f>IF(Table1[[#This Row],[Int/Ext]]="Internal",$H$1*Table1[[#This Row],[Total Billed Amount]],0)</f>
        <v>72</v>
      </c>
      <c r="I31" s="9">
        <f>IF(Table1[[#This Row],[Int/Ext]]="External",$I$1*Table1[[#This Row],[Net Billed Amount]],0)</f>
        <v>0</v>
      </c>
      <c r="J31" s="9">
        <f>SUM(Table1[[#This Row],[Sum of Internal Rebate]:[Sum of External Rebate]])</f>
        <v>72</v>
      </c>
    </row>
    <row r="32" spans="1:10" x14ac:dyDescent="0.25">
      <c r="A32" t="s">
        <v>35</v>
      </c>
      <c r="B32" s="6">
        <v>45981</v>
      </c>
      <c r="C32" t="s">
        <v>42</v>
      </c>
      <c r="D32" t="s">
        <v>12</v>
      </c>
      <c r="E32" s="10">
        <v>0</v>
      </c>
      <c r="F32" s="8">
        <v>2891.5200000000004</v>
      </c>
      <c r="G32" s="9">
        <f>IF(Table1[[#This Row],[Int/Ext]]="Internal", Table1[[#This Row],[Total Billed Amount]],Table1[[#This Row],[Total Billed Amount]]*Table1[[#This Row],[MSP Fees %]])</f>
        <v>2891.5200000000004</v>
      </c>
      <c r="H32" s="9">
        <f>IF(Table1[[#This Row],[Int/Ext]]="Internal",$H$1*Table1[[#This Row],[Total Billed Amount]],0)</f>
        <v>57.830400000000012</v>
      </c>
      <c r="I32" s="9">
        <f>IF(Table1[[#This Row],[Int/Ext]]="External",$I$1*Table1[[#This Row],[Net Billed Amount]],0)</f>
        <v>0</v>
      </c>
      <c r="J32" s="9">
        <f>SUM(Table1[[#This Row],[Sum of Internal Rebate]:[Sum of External Rebate]])</f>
        <v>57.830400000000012</v>
      </c>
    </row>
    <row r="33" spans="1:10" x14ac:dyDescent="0.25">
      <c r="A33" t="s">
        <v>35</v>
      </c>
      <c r="B33" s="6">
        <v>45981</v>
      </c>
      <c r="C33" t="s">
        <v>43</v>
      </c>
      <c r="D33" t="s">
        <v>12</v>
      </c>
      <c r="E33" s="10">
        <v>0</v>
      </c>
      <c r="F33" s="8">
        <v>3600</v>
      </c>
      <c r="G33" s="9">
        <f>IF(Table1[[#This Row],[Int/Ext]]="Internal", Table1[[#This Row],[Total Billed Amount]],Table1[[#This Row],[Total Billed Amount]]*Table1[[#This Row],[MSP Fees %]])</f>
        <v>3600</v>
      </c>
      <c r="H33" s="9">
        <f>IF(Table1[[#This Row],[Int/Ext]]="Internal",$H$1*Table1[[#This Row],[Total Billed Amount]],0)</f>
        <v>72</v>
      </c>
      <c r="I33" s="9">
        <f>IF(Table1[[#This Row],[Int/Ext]]="External",$I$1*Table1[[#This Row],[Net Billed Amount]],0)</f>
        <v>0</v>
      </c>
      <c r="J33" s="9">
        <f>SUM(Table1[[#This Row],[Sum of Internal Rebate]:[Sum of External Rebate]])</f>
        <v>72</v>
      </c>
    </row>
    <row r="34" spans="1:10" x14ac:dyDescent="0.25">
      <c r="A34" t="s">
        <v>35</v>
      </c>
      <c r="B34" s="6">
        <v>46002</v>
      </c>
      <c r="C34" t="s">
        <v>44</v>
      </c>
      <c r="D34" t="s">
        <v>12</v>
      </c>
      <c r="E34" s="10">
        <v>0</v>
      </c>
      <c r="F34" s="8">
        <v>1486.08</v>
      </c>
      <c r="G34" s="9">
        <f>IF(Table1[[#This Row],[Int/Ext]]="Internal", Table1[[#This Row],[Total Billed Amount]],Table1[[#This Row],[Total Billed Amount]]*Table1[[#This Row],[MSP Fees %]])</f>
        <v>1486.08</v>
      </c>
      <c r="H34" s="9">
        <f>IF(Table1[[#This Row],[Int/Ext]]="Internal",$H$1*Table1[[#This Row],[Total Billed Amount]],0)</f>
        <v>29.721599999999999</v>
      </c>
      <c r="I34" s="9">
        <f>IF(Table1[[#This Row],[Int/Ext]]="External",$I$1*Table1[[#This Row],[Net Billed Amount]],0)</f>
        <v>0</v>
      </c>
      <c r="J34" s="9">
        <f>SUM(Table1[[#This Row],[Sum of Internal Rebate]:[Sum of External Rebate]])</f>
        <v>29.721599999999999</v>
      </c>
    </row>
    <row r="35" spans="1:10" x14ac:dyDescent="0.25">
      <c r="A35" t="s">
        <v>45</v>
      </c>
      <c r="B35" s="6">
        <v>45932</v>
      </c>
      <c r="C35" t="s">
        <v>46</v>
      </c>
      <c r="D35" t="s">
        <v>12</v>
      </c>
      <c r="E35" s="10">
        <v>0</v>
      </c>
      <c r="F35" s="8">
        <v>4111.25</v>
      </c>
      <c r="G35" s="9">
        <f>IF(Table1[[#This Row],[Int/Ext]]="Internal", Table1[[#This Row],[Total Billed Amount]],Table1[[#This Row],[Total Billed Amount]]*Table1[[#This Row],[MSP Fees %]])</f>
        <v>4111.25</v>
      </c>
      <c r="H35" s="9">
        <f>IF(Table1[[#This Row],[Int/Ext]]="Internal",$H$1*Table1[[#This Row],[Total Billed Amount]],0)</f>
        <v>82.225000000000009</v>
      </c>
      <c r="I35" s="9">
        <f>IF(Table1[[#This Row],[Int/Ext]]="External",$I$1*Table1[[#This Row],[Net Billed Amount]],0)</f>
        <v>0</v>
      </c>
      <c r="J35" s="9">
        <f>SUM(Table1[[#This Row],[Sum of Internal Rebate]:[Sum of External Rebate]])</f>
        <v>82.225000000000009</v>
      </c>
    </row>
    <row r="36" spans="1:10" x14ac:dyDescent="0.25">
      <c r="A36" t="s">
        <v>45</v>
      </c>
      <c r="B36" s="6">
        <v>45940</v>
      </c>
      <c r="C36" t="s">
        <v>47</v>
      </c>
      <c r="D36" t="s">
        <v>12</v>
      </c>
      <c r="E36" s="10">
        <v>0</v>
      </c>
      <c r="F36" s="8">
        <v>4068.7</v>
      </c>
      <c r="G36" s="9">
        <f>IF(Table1[[#This Row],[Int/Ext]]="Internal", Table1[[#This Row],[Total Billed Amount]],Table1[[#This Row],[Total Billed Amount]]*Table1[[#This Row],[MSP Fees %]])</f>
        <v>4068.7</v>
      </c>
      <c r="H36" s="9">
        <f>IF(Table1[[#This Row],[Int/Ext]]="Internal",$H$1*Table1[[#This Row],[Total Billed Amount]],0)</f>
        <v>81.373999999999995</v>
      </c>
      <c r="I36" s="9">
        <f>IF(Table1[[#This Row],[Int/Ext]]="External",$I$1*Table1[[#This Row],[Net Billed Amount]],0)</f>
        <v>0</v>
      </c>
      <c r="J36" s="9">
        <f>SUM(Table1[[#This Row],[Sum of Internal Rebate]:[Sum of External Rebate]])</f>
        <v>81.373999999999995</v>
      </c>
    </row>
    <row r="37" spans="1:10" x14ac:dyDescent="0.25">
      <c r="A37" t="s">
        <v>45</v>
      </c>
      <c r="B37" s="6">
        <v>45946</v>
      </c>
      <c r="C37" t="s">
        <v>48</v>
      </c>
      <c r="D37" t="s">
        <v>12</v>
      </c>
      <c r="E37" s="10">
        <v>0</v>
      </c>
      <c r="F37" s="8">
        <v>4143.45</v>
      </c>
      <c r="G37" s="9">
        <f>IF(Table1[[#This Row],[Int/Ext]]="Internal", Table1[[#This Row],[Total Billed Amount]],Table1[[#This Row],[Total Billed Amount]]*Table1[[#This Row],[MSP Fees %]])</f>
        <v>4143.45</v>
      </c>
      <c r="H37" s="9">
        <f>IF(Table1[[#This Row],[Int/Ext]]="Internal",$H$1*Table1[[#This Row],[Total Billed Amount]],0)</f>
        <v>82.869</v>
      </c>
      <c r="I37" s="9">
        <f>IF(Table1[[#This Row],[Int/Ext]]="External",$I$1*Table1[[#This Row],[Net Billed Amount]],0)</f>
        <v>0</v>
      </c>
      <c r="J37" s="9">
        <f>SUM(Table1[[#This Row],[Sum of Internal Rebate]:[Sum of External Rebate]])</f>
        <v>82.869</v>
      </c>
    </row>
    <row r="38" spans="1:10" x14ac:dyDescent="0.25">
      <c r="A38" t="s">
        <v>45</v>
      </c>
      <c r="B38" s="6">
        <v>45946</v>
      </c>
      <c r="C38" t="s">
        <v>49</v>
      </c>
      <c r="D38" t="s">
        <v>12</v>
      </c>
      <c r="E38" s="10">
        <v>0</v>
      </c>
      <c r="F38" s="8">
        <v>3913.45</v>
      </c>
      <c r="G38" s="9">
        <f>IF(Table1[[#This Row],[Int/Ext]]="Internal", Table1[[#This Row],[Total Billed Amount]],Table1[[#This Row],[Total Billed Amount]]*Table1[[#This Row],[MSP Fees %]])</f>
        <v>3913.45</v>
      </c>
      <c r="H38" s="9">
        <f>IF(Table1[[#This Row],[Int/Ext]]="Internal",$H$1*Table1[[#This Row],[Total Billed Amount]],0)</f>
        <v>78.268999999999991</v>
      </c>
      <c r="I38" s="9">
        <f>IF(Table1[[#This Row],[Int/Ext]]="External",$I$1*Table1[[#This Row],[Net Billed Amount]],0)</f>
        <v>0</v>
      </c>
      <c r="J38" s="9">
        <f>SUM(Table1[[#This Row],[Sum of Internal Rebate]:[Sum of External Rebate]])</f>
        <v>78.268999999999991</v>
      </c>
    </row>
    <row r="39" spans="1:10" x14ac:dyDescent="0.25">
      <c r="A39" t="s">
        <v>45</v>
      </c>
      <c r="B39" s="6">
        <v>45946</v>
      </c>
      <c r="C39" t="s">
        <v>50</v>
      </c>
      <c r="D39" t="s">
        <v>12</v>
      </c>
      <c r="E39" s="10">
        <v>0</v>
      </c>
      <c r="F39" s="8">
        <v>4235.45</v>
      </c>
      <c r="G39" s="9">
        <f>IF(Table1[[#This Row],[Int/Ext]]="Internal", Table1[[#This Row],[Total Billed Amount]],Table1[[#This Row],[Total Billed Amount]]*Table1[[#This Row],[MSP Fees %]])</f>
        <v>4235.45</v>
      </c>
      <c r="H39" s="9">
        <f>IF(Table1[[#This Row],[Int/Ext]]="Internal",$H$1*Table1[[#This Row],[Total Billed Amount]],0)</f>
        <v>84.709000000000003</v>
      </c>
      <c r="I39" s="9">
        <f>IF(Table1[[#This Row],[Int/Ext]]="External",$I$1*Table1[[#This Row],[Net Billed Amount]],0)</f>
        <v>0</v>
      </c>
      <c r="J39" s="9">
        <f>SUM(Table1[[#This Row],[Sum of Internal Rebate]:[Sum of External Rebate]])</f>
        <v>84.709000000000003</v>
      </c>
    </row>
    <row r="40" spans="1:10" x14ac:dyDescent="0.25">
      <c r="A40" t="s">
        <v>45</v>
      </c>
      <c r="B40" s="6">
        <v>45946</v>
      </c>
      <c r="C40" t="s">
        <v>51</v>
      </c>
      <c r="D40" t="s">
        <v>12</v>
      </c>
      <c r="E40" s="10">
        <v>0</v>
      </c>
      <c r="F40" s="8">
        <v>3852.5</v>
      </c>
      <c r="G40" s="9">
        <f>IF(Table1[[#This Row],[Int/Ext]]="Internal", Table1[[#This Row],[Total Billed Amount]],Table1[[#This Row],[Total Billed Amount]]*Table1[[#This Row],[MSP Fees %]])</f>
        <v>3852.5</v>
      </c>
      <c r="H40" s="9">
        <f>IF(Table1[[#This Row],[Int/Ext]]="Internal",$H$1*Table1[[#This Row],[Total Billed Amount]],0)</f>
        <v>77.05</v>
      </c>
      <c r="I40" s="9">
        <f>IF(Table1[[#This Row],[Int/Ext]]="External",$I$1*Table1[[#This Row],[Net Billed Amount]],0)</f>
        <v>0</v>
      </c>
      <c r="J40" s="9">
        <f>SUM(Table1[[#This Row],[Sum of Internal Rebate]:[Sum of External Rebate]])</f>
        <v>77.05</v>
      </c>
    </row>
    <row r="41" spans="1:10" x14ac:dyDescent="0.25">
      <c r="A41" t="s">
        <v>45</v>
      </c>
      <c r="B41" s="6">
        <v>45953</v>
      </c>
      <c r="C41" t="s">
        <v>52</v>
      </c>
      <c r="D41" t="s">
        <v>12</v>
      </c>
      <c r="E41" s="10">
        <v>0</v>
      </c>
      <c r="F41" s="8">
        <v>4140</v>
      </c>
      <c r="G41" s="9">
        <f>IF(Table1[[#This Row],[Int/Ext]]="Internal", Table1[[#This Row],[Total Billed Amount]],Table1[[#This Row],[Total Billed Amount]]*Table1[[#This Row],[MSP Fees %]])</f>
        <v>4140</v>
      </c>
      <c r="H41" s="9">
        <f>IF(Table1[[#This Row],[Int/Ext]]="Internal",$H$1*Table1[[#This Row],[Total Billed Amount]],0)</f>
        <v>82.8</v>
      </c>
      <c r="I41" s="9">
        <f>IF(Table1[[#This Row],[Int/Ext]]="External",$I$1*Table1[[#This Row],[Net Billed Amount]],0)</f>
        <v>0</v>
      </c>
      <c r="J41" s="9">
        <f>SUM(Table1[[#This Row],[Sum of Internal Rebate]:[Sum of External Rebate]])</f>
        <v>82.8</v>
      </c>
    </row>
    <row r="42" spans="1:10" x14ac:dyDescent="0.25">
      <c r="A42" t="s">
        <v>45</v>
      </c>
      <c r="B42" s="6">
        <v>45953</v>
      </c>
      <c r="C42" t="s">
        <v>53</v>
      </c>
      <c r="D42" t="s">
        <v>12</v>
      </c>
      <c r="E42" s="10">
        <v>0</v>
      </c>
      <c r="F42" s="8">
        <v>2953.2</v>
      </c>
      <c r="G42" s="9">
        <f>IF(Table1[[#This Row],[Int/Ext]]="Internal", Table1[[#This Row],[Total Billed Amount]],Table1[[#This Row],[Total Billed Amount]]*Table1[[#This Row],[MSP Fees %]])</f>
        <v>2953.2</v>
      </c>
      <c r="H42" s="9">
        <f>IF(Table1[[#This Row],[Int/Ext]]="Internal",$H$1*Table1[[#This Row],[Total Billed Amount]],0)</f>
        <v>59.064</v>
      </c>
      <c r="I42" s="9">
        <f>IF(Table1[[#This Row],[Int/Ext]]="External",$I$1*Table1[[#This Row],[Net Billed Amount]],0)</f>
        <v>0</v>
      </c>
      <c r="J42" s="9">
        <f>SUM(Table1[[#This Row],[Sum of Internal Rebate]:[Sum of External Rebate]])</f>
        <v>59.064</v>
      </c>
    </row>
    <row r="43" spans="1:10" x14ac:dyDescent="0.25">
      <c r="A43" t="s">
        <v>45</v>
      </c>
      <c r="B43" s="6">
        <v>45960</v>
      </c>
      <c r="C43" t="s">
        <v>54</v>
      </c>
      <c r="D43" t="s">
        <v>12</v>
      </c>
      <c r="E43" s="10">
        <v>0</v>
      </c>
      <c r="F43" s="8">
        <v>4197.5</v>
      </c>
      <c r="G43" s="9">
        <f>IF(Table1[[#This Row],[Int/Ext]]="Internal", Table1[[#This Row],[Total Billed Amount]],Table1[[#This Row],[Total Billed Amount]]*Table1[[#This Row],[MSP Fees %]])</f>
        <v>4197.5</v>
      </c>
      <c r="H43" s="9">
        <f>IF(Table1[[#This Row],[Int/Ext]]="Internal",$H$1*Table1[[#This Row],[Total Billed Amount]],0)</f>
        <v>83.95</v>
      </c>
      <c r="I43" s="9">
        <f>IF(Table1[[#This Row],[Int/Ext]]="External",$I$1*Table1[[#This Row],[Net Billed Amount]],0)</f>
        <v>0</v>
      </c>
      <c r="J43" s="9">
        <f>SUM(Table1[[#This Row],[Sum of Internal Rebate]:[Sum of External Rebate]])</f>
        <v>83.95</v>
      </c>
    </row>
    <row r="44" spans="1:10" x14ac:dyDescent="0.25">
      <c r="A44" t="s">
        <v>45</v>
      </c>
      <c r="B44" s="6">
        <v>45960</v>
      </c>
      <c r="C44" t="s">
        <v>55</v>
      </c>
      <c r="D44" t="s">
        <v>12</v>
      </c>
      <c r="E44" s="10">
        <v>0</v>
      </c>
      <c r="F44" s="8">
        <v>4990.5</v>
      </c>
      <c r="G44" s="9">
        <f>IF(Table1[[#This Row],[Int/Ext]]="Internal", Table1[[#This Row],[Total Billed Amount]],Table1[[#This Row],[Total Billed Amount]]*Table1[[#This Row],[MSP Fees %]])</f>
        <v>4990.5</v>
      </c>
      <c r="H44" s="9">
        <f>IF(Table1[[#This Row],[Int/Ext]]="Internal",$H$1*Table1[[#This Row],[Total Billed Amount]],0)</f>
        <v>99.81</v>
      </c>
      <c r="I44" s="9">
        <f>IF(Table1[[#This Row],[Int/Ext]]="External",$I$1*Table1[[#This Row],[Net Billed Amount]],0)</f>
        <v>0</v>
      </c>
      <c r="J44" s="9">
        <f>SUM(Table1[[#This Row],[Sum of Internal Rebate]:[Sum of External Rebate]])</f>
        <v>99.81</v>
      </c>
    </row>
    <row r="45" spans="1:10" x14ac:dyDescent="0.25">
      <c r="A45" t="s">
        <v>45</v>
      </c>
      <c r="B45" s="6">
        <v>45971</v>
      </c>
      <c r="C45" t="s">
        <v>56</v>
      </c>
      <c r="D45" t="s">
        <v>12</v>
      </c>
      <c r="E45" s="10">
        <v>0</v>
      </c>
      <c r="F45" s="8">
        <v>4082.5</v>
      </c>
      <c r="G45" s="9">
        <f>IF(Table1[[#This Row],[Int/Ext]]="Internal", Table1[[#This Row],[Total Billed Amount]],Table1[[#This Row],[Total Billed Amount]]*Table1[[#This Row],[MSP Fees %]])</f>
        <v>4082.5</v>
      </c>
      <c r="H45" s="9">
        <f>IF(Table1[[#This Row],[Int/Ext]]="Internal",$H$1*Table1[[#This Row],[Total Billed Amount]],0)</f>
        <v>81.650000000000006</v>
      </c>
      <c r="I45" s="9">
        <f>IF(Table1[[#This Row],[Int/Ext]]="External",$I$1*Table1[[#This Row],[Net Billed Amount]],0)</f>
        <v>0</v>
      </c>
      <c r="J45" s="9">
        <f>SUM(Table1[[#This Row],[Sum of Internal Rebate]:[Sum of External Rebate]])</f>
        <v>81.650000000000006</v>
      </c>
    </row>
    <row r="46" spans="1:10" x14ac:dyDescent="0.25">
      <c r="A46" t="s">
        <v>45</v>
      </c>
      <c r="B46" s="6">
        <v>45971</v>
      </c>
      <c r="C46" t="s">
        <v>57</v>
      </c>
      <c r="D46" t="s">
        <v>12</v>
      </c>
      <c r="E46" s="10">
        <v>0</v>
      </c>
      <c r="F46" s="8">
        <v>5329.5</v>
      </c>
      <c r="G46" s="9">
        <f>IF(Table1[[#This Row],[Int/Ext]]="Internal", Table1[[#This Row],[Total Billed Amount]],Table1[[#This Row],[Total Billed Amount]]*Table1[[#This Row],[MSP Fees %]])</f>
        <v>5329.5</v>
      </c>
      <c r="H46" s="9">
        <f>IF(Table1[[#This Row],[Int/Ext]]="Internal",$H$1*Table1[[#This Row],[Total Billed Amount]],0)</f>
        <v>106.59</v>
      </c>
      <c r="I46" s="9">
        <f>IF(Table1[[#This Row],[Int/Ext]]="External",$I$1*Table1[[#This Row],[Net Billed Amount]],0)</f>
        <v>0</v>
      </c>
      <c r="J46" s="9">
        <f>SUM(Table1[[#This Row],[Sum of Internal Rebate]:[Sum of External Rebate]])</f>
        <v>106.59</v>
      </c>
    </row>
    <row r="47" spans="1:10" x14ac:dyDescent="0.25">
      <c r="A47" t="s">
        <v>45</v>
      </c>
      <c r="B47" s="6">
        <v>45974</v>
      </c>
      <c r="C47" t="s">
        <v>58</v>
      </c>
      <c r="D47" t="s">
        <v>12</v>
      </c>
      <c r="E47" s="10">
        <v>0</v>
      </c>
      <c r="F47" s="8">
        <v>4197.5</v>
      </c>
      <c r="G47" s="9">
        <f>IF(Table1[[#This Row],[Int/Ext]]="Internal", Table1[[#This Row],[Total Billed Amount]],Table1[[#This Row],[Total Billed Amount]]*Table1[[#This Row],[MSP Fees %]])</f>
        <v>4197.5</v>
      </c>
      <c r="H47" s="9">
        <f>IF(Table1[[#This Row],[Int/Ext]]="Internal",$H$1*Table1[[#This Row],[Total Billed Amount]],0)</f>
        <v>83.95</v>
      </c>
      <c r="I47" s="9">
        <f>IF(Table1[[#This Row],[Int/Ext]]="External",$I$1*Table1[[#This Row],[Net Billed Amount]],0)</f>
        <v>0</v>
      </c>
      <c r="J47" s="9">
        <f>SUM(Table1[[#This Row],[Sum of Internal Rebate]:[Sum of External Rebate]])</f>
        <v>83.95</v>
      </c>
    </row>
    <row r="48" spans="1:10" x14ac:dyDescent="0.25">
      <c r="A48" t="s">
        <v>45</v>
      </c>
      <c r="B48" s="6">
        <v>45974</v>
      </c>
      <c r="C48" t="s">
        <v>59</v>
      </c>
      <c r="D48" t="s">
        <v>12</v>
      </c>
      <c r="E48" s="10">
        <v>0</v>
      </c>
      <c r="F48" s="8">
        <v>3794.4</v>
      </c>
      <c r="G48" s="9">
        <f>IF(Table1[[#This Row],[Int/Ext]]="Internal", Table1[[#This Row],[Total Billed Amount]],Table1[[#This Row],[Total Billed Amount]]*Table1[[#This Row],[MSP Fees %]])</f>
        <v>3794.4</v>
      </c>
      <c r="H48" s="9">
        <f>IF(Table1[[#This Row],[Int/Ext]]="Internal",$H$1*Table1[[#This Row],[Total Billed Amount]],0)</f>
        <v>75.888000000000005</v>
      </c>
      <c r="I48" s="9">
        <f>IF(Table1[[#This Row],[Int/Ext]]="External",$I$1*Table1[[#This Row],[Net Billed Amount]],0)</f>
        <v>0</v>
      </c>
      <c r="J48" s="9">
        <f>SUM(Table1[[#This Row],[Sum of Internal Rebate]:[Sum of External Rebate]])</f>
        <v>75.888000000000005</v>
      </c>
    </row>
    <row r="49" spans="1:10" x14ac:dyDescent="0.25">
      <c r="A49" t="s">
        <v>45</v>
      </c>
      <c r="B49" s="6">
        <v>45981</v>
      </c>
      <c r="C49" t="s">
        <v>60</v>
      </c>
      <c r="D49" t="s">
        <v>12</v>
      </c>
      <c r="E49" s="10">
        <v>0</v>
      </c>
      <c r="F49" s="8">
        <v>4168.75</v>
      </c>
      <c r="G49" s="9">
        <f>IF(Table1[[#This Row],[Int/Ext]]="Internal", Table1[[#This Row],[Total Billed Amount]],Table1[[#This Row],[Total Billed Amount]]*Table1[[#This Row],[MSP Fees %]])</f>
        <v>4168.75</v>
      </c>
      <c r="H49" s="9">
        <f>IF(Table1[[#This Row],[Int/Ext]]="Internal",$H$1*Table1[[#This Row],[Total Billed Amount]],0)</f>
        <v>83.375</v>
      </c>
      <c r="I49" s="9">
        <f>IF(Table1[[#This Row],[Int/Ext]]="External",$I$1*Table1[[#This Row],[Net Billed Amount]],0)</f>
        <v>0</v>
      </c>
      <c r="J49" s="9">
        <f>SUM(Table1[[#This Row],[Sum of Internal Rebate]:[Sum of External Rebate]])</f>
        <v>83.375</v>
      </c>
    </row>
    <row r="50" spans="1:10" x14ac:dyDescent="0.25">
      <c r="A50" t="s">
        <v>45</v>
      </c>
      <c r="B50" s="6">
        <v>45981</v>
      </c>
      <c r="C50" t="s">
        <v>61</v>
      </c>
      <c r="D50" t="s">
        <v>12</v>
      </c>
      <c r="E50" s="10">
        <v>0</v>
      </c>
      <c r="F50" s="8">
        <v>5140.5</v>
      </c>
      <c r="G50" s="9">
        <f>IF(Table1[[#This Row],[Int/Ext]]="Internal", Table1[[#This Row],[Total Billed Amount]],Table1[[#This Row],[Total Billed Amount]]*Table1[[#This Row],[MSP Fees %]])</f>
        <v>5140.5</v>
      </c>
      <c r="H50" s="9">
        <f>IF(Table1[[#This Row],[Int/Ext]]="Internal",$H$1*Table1[[#This Row],[Total Billed Amount]],0)</f>
        <v>102.81</v>
      </c>
      <c r="I50" s="9">
        <f>IF(Table1[[#This Row],[Int/Ext]]="External",$I$1*Table1[[#This Row],[Net Billed Amount]],0)</f>
        <v>0</v>
      </c>
      <c r="J50" s="9">
        <f>SUM(Table1[[#This Row],[Sum of Internal Rebate]:[Sum of External Rebate]])</f>
        <v>102.81</v>
      </c>
    </row>
    <row r="51" spans="1:10" x14ac:dyDescent="0.25">
      <c r="A51" t="s">
        <v>45</v>
      </c>
      <c r="B51" s="6">
        <v>45992</v>
      </c>
      <c r="C51" t="s">
        <v>62</v>
      </c>
      <c r="D51" t="s">
        <v>12</v>
      </c>
      <c r="E51" s="10">
        <v>0</v>
      </c>
      <c r="F51" s="8">
        <v>4283.75</v>
      </c>
      <c r="G51" s="9">
        <f>IF(Table1[[#This Row],[Int/Ext]]="Internal", Table1[[#This Row],[Total Billed Amount]],Table1[[#This Row],[Total Billed Amount]]*Table1[[#This Row],[MSP Fees %]])</f>
        <v>4283.75</v>
      </c>
      <c r="H51" s="9">
        <f>IF(Table1[[#This Row],[Int/Ext]]="Internal",$H$1*Table1[[#This Row],[Total Billed Amount]],0)</f>
        <v>85.674999999999997</v>
      </c>
      <c r="I51" s="9">
        <f>IF(Table1[[#This Row],[Int/Ext]]="External",$I$1*Table1[[#This Row],[Net Billed Amount]],0)</f>
        <v>0</v>
      </c>
      <c r="J51" s="9">
        <f>SUM(Table1[[#This Row],[Sum of Internal Rebate]:[Sum of External Rebate]])</f>
        <v>85.674999999999997</v>
      </c>
    </row>
    <row r="52" spans="1:10" x14ac:dyDescent="0.25">
      <c r="A52" t="s">
        <v>45</v>
      </c>
      <c r="B52" s="6">
        <v>45995</v>
      </c>
      <c r="C52" t="s">
        <v>63</v>
      </c>
      <c r="D52" t="s">
        <v>12</v>
      </c>
      <c r="E52" s="10">
        <v>0</v>
      </c>
      <c r="F52" s="8">
        <v>4053.75</v>
      </c>
      <c r="G52" s="9">
        <f>IF(Table1[[#This Row],[Int/Ext]]="Internal", Table1[[#This Row],[Total Billed Amount]],Table1[[#This Row],[Total Billed Amount]]*Table1[[#This Row],[MSP Fees %]])</f>
        <v>4053.75</v>
      </c>
      <c r="H52" s="9">
        <f>IF(Table1[[#This Row],[Int/Ext]]="Internal",$H$1*Table1[[#This Row],[Total Billed Amount]],0)</f>
        <v>81.075000000000003</v>
      </c>
      <c r="I52" s="9">
        <f>IF(Table1[[#This Row],[Int/Ext]]="External",$I$1*Table1[[#This Row],[Net Billed Amount]],0)</f>
        <v>0</v>
      </c>
      <c r="J52" s="9">
        <f>SUM(Table1[[#This Row],[Sum of Internal Rebate]:[Sum of External Rebate]])</f>
        <v>81.075000000000003</v>
      </c>
    </row>
    <row r="53" spans="1:10" x14ac:dyDescent="0.25">
      <c r="A53" t="s">
        <v>45</v>
      </c>
      <c r="B53" s="6">
        <v>46002</v>
      </c>
      <c r="C53" t="s">
        <v>64</v>
      </c>
      <c r="D53" t="s">
        <v>12</v>
      </c>
      <c r="E53" s="10">
        <v>0</v>
      </c>
      <c r="F53" s="8">
        <v>1351.25</v>
      </c>
      <c r="G53" s="9">
        <f>IF(Table1[[#This Row],[Int/Ext]]="Internal", Table1[[#This Row],[Total Billed Amount]],Table1[[#This Row],[Total Billed Amount]]*Table1[[#This Row],[MSP Fees %]])</f>
        <v>1351.25</v>
      </c>
      <c r="H53" s="9">
        <f>IF(Table1[[#This Row],[Int/Ext]]="Internal",$H$1*Table1[[#This Row],[Total Billed Amount]],0)</f>
        <v>27.025000000000002</v>
      </c>
      <c r="I53" s="9">
        <f>IF(Table1[[#This Row],[Int/Ext]]="External",$I$1*Table1[[#This Row],[Net Billed Amount]],0)</f>
        <v>0</v>
      </c>
      <c r="J53" s="9">
        <f>SUM(Table1[[#This Row],[Sum of Internal Rebate]:[Sum of External Rebate]])</f>
        <v>27.025000000000002</v>
      </c>
    </row>
    <row r="54" spans="1:10" x14ac:dyDescent="0.25">
      <c r="A54" t="s">
        <v>45</v>
      </c>
      <c r="B54" s="6">
        <v>46002</v>
      </c>
      <c r="C54" t="s">
        <v>65</v>
      </c>
      <c r="D54" t="s">
        <v>12</v>
      </c>
      <c r="E54" s="10">
        <v>0</v>
      </c>
      <c r="F54" s="8">
        <v>3885.6</v>
      </c>
      <c r="G54" s="9">
        <f>IF(Table1[[#This Row],[Int/Ext]]="Internal", Table1[[#This Row],[Total Billed Amount]],Table1[[#This Row],[Total Billed Amount]]*Table1[[#This Row],[MSP Fees %]])</f>
        <v>3885.6</v>
      </c>
      <c r="H54" s="9">
        <f>IF(Table1[[#This Row],[Int/Ext]]="Internal",$H$1*Table1[[#This Row],[Total Billed Amount]],0)</f>
        <v>77.712000000000003</v>
      </c>
      <c r="I54" s="9">
        <f>IF(Table1[[#This Row],[Int/Ext]]="External",$I$1*Table1[[#This Row],[Net Billed Amount]],0)</f>
        <v>0</v>
      </c>
      <c r="J54" s="9">
        <f>SUM(Table1[[#This Row],[Sum of Internal Rebate]:[Sum of External Rebate]])</f>
        <v>77.712000000000003</v>
      </c>
    </row>
    <row r="55" spans="1:10" x14ac:dyDescent="0.25">
      <c r="A55" t="s">
        <v>45</v>
      </c>
      <c r="B55" s="6">
        <v>46009</v>
      </c>
      <c r="C55" t="s">
        <v>66</v>
      </c>
      <c r="D55" t="s">
        <v>12</v>
      </c>
      <c r="E55" s="10">
        <v>0</v>
      </c>
      <c r="F55" s="8">
        <v>5287.5</v>
      </c>
      <c r="G55" s="9">
        <f>IF(Table1[[#This Row],[Int/Ext]]="Internal", Table1[[#This Row],[Total Billed Amount]],Table1[[#This Row],[Total Billed Amount]]*Table1[[#This Row],[MSP Fees %]])</f>
        <v>5287.5</v>
      </c>
      <c r="H55" s="9">
        <f>IF(Table1[[#This Row],[Int/Ext]]="Internal",$H$1*Table1[[#This Row],[Total Billed Amount]],0)</f>
        <v>105.75</v>
      </c>
      <c r="I55" s="9">
        <f>IF(Table1[[#This Row],[Int/Ext]]="External",$I$1*Table1[[#This Row],[Net Billed Amount]],0)</f>
        <v>0</v>
      </c>
      <c r="J55" s="9">
        <f>SUM(Table1[[#This Row],[Sum of Internal Rebate]:[Sum of External Rebate]])</f>
        <v>105.75</v>
      </c>
    </row>
    <row r="56" spans="1:10" x14ac:dyDescent="0.25">
      <c r="A56" t="s">
        <v>45</v>
      </c>
      <c r="B56" s="6">
        <v>46020</v>
      </c>
      <c r="C56" t="s">
        <v>67</v>
      </c>
      <c r="D56" t="s">
        <v>68</v>
      </c>
      <c r="E56" s="10">
        <v>0.06</v>
      </c>
      <c r="F56" s="8">
        <v>4707.8099999999995</v>
      </c>
      <c r="G56" s="9">
        <f>IF(Table1[[#This Row],[Int/Ext]]="Internal", Table1[[#This Row],[Total Billed Amount]],Table1[[#This Row],[Total Billed Amount]]*Table1[[#This Row],[MSP Fees %]])</f>
        <v>282.46859999999998</v>
      </c>
      <c r="H56" s="9">
        <f>IF(Table1[[#This Row],[Int/Ext]]="Internal",$H$1*Table1[[#This Row],[Total Billed Amount]],0)</f>
        <v>0</v>
      </c>
      <c r="I56" s="9">
        <f>IF(Table1[[#This Row],[Int/Ext]]="External",$I$1*Table1[[#This Row],[Net Billed Amount]],0)</f>
        <v>56.493719999999996</v>
      </c>
      <c r="J56" s="9">
        <f>SUM(Table1[[#This Row],[Sum of Internal Rebate]:[Sum of External Rebate]])</f>
        <v>56.493719999999996</v>
      </c>
    </row>
    <row r="57" spans="1:10" x14ac:dyDescent="0.25">
      <c r="A57" t="s">
        <v>45</v>
      </c>
      <c r="B57" s="6">
        <v>46020</v>
      </c>
      <c r="C57" t="s">
        <v>69</v>
      </c>
      <c r="D57" t="s">
        <v>12</v>
      </c>
      <c r="E57" s="10">
        <v>0</v>
      </c>
      <c r="F57" s="8">
        <v>5935.5</v>
      </c>
      <c r="G57" s="9">
        <f>IF(Table1[[#This Row],[Int/Ext]]="Internal", Table1[[#This Row],[Total Billed Amount]],Table1[[#This Row],[Total Billed Amount]]*Table1[[#This Row],[MSP Fees %]])</f>
        <v>5935.5</v>
      </c>
      <c r="H57" s="9">
        <f>IF(Table1[[#This Row],[Int/Ext]]="Internal",$H$1*Table1[[#This Row],[Total Billed Amount]],0)</f>
        <v>118.71000000000001</v>
      </c>
      <c r="I57" s="9">
        <f>IF(Table1[[#This Row],[Int/Ext]]="External",$I$1*Table1[[#This Row],[Net Billed Amount]],0)</f>
        <v>0</v>
      </c>
      <c r="J57" s="9">
        <f>SUM(Table1[[#This Row],[Sum of Internal Rebate]:[Sum of External Rebate]])</f>
        <v>118.71000000000001</v>
      </c>
    </row>
    <row r="58" spans="1:10" x14ac:dyDescent="0.25">
      <c r="A58" t="s">
        <v>70</v>
      </c>
      <c r="B58" s="6">
        <v>45974</v>
      </c>
      <c r="C58" t="s">
        <v>71</v>
      </c>
      <c r="D58" t="s">
        <v>12</v>
      </c>
      <c r="E58" s="10">
        <v>0</v>
      </c>
      <c r="F58" s="8">
        <v>3836.75</v>
      </c>
      <c r="G58" s="9">
        <f>IF(Table1[[#This Row],[Int/Ext]]="Internal", Table1[[#This Row],[Total Billed Amount]],Table1[[#This Row],[Total Billed Amount]]*Table1[[#This Row],[MSP Fees %]])</f>
        <v>3836.75</v>
      </c>
      <c r="H58" s="9">
        <f>IF(Table1[[#This Row],[Int/Ext]]="Internal",$H$1*Table1[[#This Row],[Total Billed Amount]],0)</f>
        <v>76.734999999999999</v>
      </c>
      <c r="I58" s="9">
        <f>IF(Table1[[#This Row],[Int/Ext]]="External",$I$1*Table1[[#This Row],[Net Billed Amount]],0)</f>
        <v>0</v>
      </c>
      <c r="J58" s="9">
        <f>SUM(Table1[[#This Row],[Sum of Internal Rebate]:[Sum of External Rebate]])</f>
        <v>76.734999999999999</v>
      </c>
    </row>
    <row r="59" spans="1:10" x14ac:dyDescent="0.25">
      <c r="A59" t="s">
        <v>70</v>
      </c>
      <c r="B59" s="6">
        <v>45981</v>
      </c>
      <c r="C59" t="s">
        <v>72</v>
      </c>
      <c r="D59" t="s">
        <v>12</v>
      </c>
      <c r="E59" s="10">
        <v>0</v>
      </c>
      <c r="F59" s="8">
        <v>3862.5</v>
      </c>
      <c r="G59" s="9">
        <f>IF(Table1[[#This Row],[Int/Ext]]="Internal", Table1[[#This Row],[Total Billed Amount]],Table1[[#This Row],[Total Billed Amount]]*Table1[[#This Row],[MSP Fees %]])</f>
        <v>3862.5</v>
      </c>
      <c r="H59" s="9">
        <f>IF(Table1[[#This Row],[Int/Ext]]="Internal",$H$1*Table1[[#This Row],[Total Billed Amount]],0)</f>
        <v>77.25</v>
      </c>
      <c r="I59" s="9">
        <f>IF(Table1[[#This Row],[Int/Ext]]="External",$I$1*Table1[[#This Row],[Net Billed Amount]],0)</f>
        <v>0</v>
      </c>
      <c r="J59" s="9">
        <f>SUM(Table1[[#This Row],[Sum of Internal Rebate]:[Sum of External Rebate]])</f>
        <v>77.25</v>
      </c>
    </row>
    <row r="60" spans="1:10" x14ac:dyDescent="0.25">
      <c r="A60" t="s">
        <v>70</v>
      </c>
      <c r="B60" s="6">
        <v>45992</v>
      </c>
      <c r="C60" t="s">
        <v>73</v>
      </c>
      <c r="D60" t="s">
        <v>12</v>
      </c>
      <c r="E60" s="10">
        <v>0</v>
      </c>
      <c r="F60" s="8">
        <v>3862.5</v>
      </c>
      <c r="G60" s="9">
        <f>IF(Table1[[#This Row],[Int/Ext]]="Internal", Table1[[#This Row],[Total Billed Amount]],Table1[[#This Row],[Total Billed Amount]]*Table1[[#This Row],[MSP Fees %]])</f>
        <v>3862.5</v>
      </c>
      <c r="H60" s="9">
        <f>IF(Table1[[#This Row],[Int/Ext]]="Internal",$H$1*Table1[[#This Row],[Total Billed Amount]],0)</f>
        <v>77.25</v>
      </c>
      <c r="I60" s="9">
        <f>IF(Table1[[#This Row],[Int/Ext]]="External",$I$1*Table1[[#This Row],[Net Billed Amount]],0)</f>
        <v>0</v>
      </c>
      <c r="J60" s="9">
        <f>SUM(Table1[[#This Row],[Sum of Internal Rebate]:[Sum of External Rebate]])</f>
        <v>77.25</v>
      </c>
    </row>
    <row r="61" spans="1:10" x14ac:dyDescent="0.25">
      <c r="A61" t="s">
        <v>70</v>
      </c>
      <c r="B61" s="6">
        <v>45995</v>
      </c>
      <c r="C61" t="s">
        <v>74</v>
      </c>
      <c r="D61" t="s">
        <v>12</v>
      </c>
      <c r="E61" s="7">
        <v>0</v>
      </c>
      <c r="F61" s="8">
        <v>3090</v>
      </c>
      <c r="G61" s="9">
        <f>IF(Table1[[#This Row],[Int/Ext]]="Internal", Table1[[#This Row],[Total Billed Amount]],Table1[[#This Row],[Total Billed Amount]]*Table1[[#This Row],[MSP Fees %]])</f>
        <v>3090</v>
      </c>
      <c r="H61" s="9">
        <f>IF(Table1[[#This Row],[Int/Ext]]="Internal",$H$1*Table1[[#This Row],[Total Billed Amount]],0)</f>
        <v>61.800000000000004</v>
      </c>
      <c r="I61" s="9">
        <f>IF(Table1[[#This Row],[Int/Ext]]="External",$I$1*Table1[[#This Row],[Net Billed Amount]],0)</f>
        <v>0</v>
      </c>
      <c r="J61" s="9">
        <f>SUM(Table1[[#This Row],[Sum of Internal Rebate]:[Sum of External Rebate]])</f>
        <v>61.800000000000004</v>
      </c>
    </row>
    <row r="62" spans="1:10" x14ac:dyDescent="0.25">
      <c r="A62" t="s">
        <v>70</v>
      </c>
      <c r="B62" s="6">
        <v>46002</v>
      </c>
      <c r="C62" t="s">
        <v>75</v>
      </c>
      <c r="D62" t="s">
        <v>12</v>
      </c>
      <c r="E62" s="7">
        <v>0</v>
      </c>
      <c r="F62" s="8">
        <v>3862.5</v>
      </c>
      <c r="G62" s="9">
        <f>IF(Table1[[#This Row],[Int/Ext]]="Internal", Table1[[#This Row],[Total Billed Amount]],Table1[[#This Row],[Total Billed Amount]]*Table1[[#This Row],[MSP Fees %]])</f>
        <v>3862.5</v>
      </c>
      <c r="H62" s="9">
        <f>IF(Table1[[#This Row],[Int/Ext]]="Internal",$H$1*Table1[[#This Row],[Total Billed Amount]],0)</f>
        <v>77.25</v>
      </c>
      <c r="I62" s="9">
        <f>IF(Table1[[#This Row],[Int/Ext]]="External",$I$1*Table1[[#This Row],[Net Billed Amount]],0)</f>
        <v>0</v>
      </c>
      <c r="J62" s="9">
        <f>SUM(Table1[[#This Row],[Sum of Internal Rebate]:[Sum of External Rebate]])</f>
        <v>77.25</v>
      </c>
    </row>
    <row r="63" spans="1:10" x14ac:dyDescent="0.25">
      <c r="A63" t="s">
        <v>70</v>
      </c>
      <c r="B63" s="6">
        <v>46009</v>
      </c>
      <c r="C63" t="s">
        <v>76</v>
      </c>
      <c r="D63" t="s">
        <v>12</v>
      </c>
      <c r="E63" s="7">
        <v>0</v>
      </c>
      <c r="F63" s="8">
        <v>3862.5</v>
      </c>
      <c r="G63" s="9">
        <f>IF(Table1[[#This Row],[Int/Ext]]="Internal", Table1[[#This Row],[Total Billed Amount]],Table1[[#This Row],[Total Billed Amount]]*Table1[[#This Row],[MSP Fees %]])</f>
        <v>3862.5</v>
      </c>
      <c r="H63" s="9">
        <f>IF(Table1[[#This Row],[Int/Ext]]="Internal",$H$1*Table1[[#This Row],[Total Billed Amount]],0)</f>
        <v>77.25</v>
      </c>
      <c r="I63" s="9">
        <f>IF(Table1[[#This Row],[Int/Ext]]="External",$I$1*Table1[[#This Row],[Net Billed Amount]],0)</f>
        <v>0</v>
      </c>
      <c r="J63" s="9">
        <f>SUM(Table1[[#This Row],[Sum of Internal Rebate]:[Sum of External Rebate]])</f>
        <v>77.25</v>
      </c>
    </row>
    <row r="64" spans="1:10" x14ac:dyDescent="0.25">
      <c r="A64" t="s">
        <v>70</v>
      </c>
      <c r="B64" s="6">
        <v>46020</v>
      </c>
      <c r="C64" t="s">
        <v>77</v>
      </c>
      <c r="D64" t="s">
        <v>12</v>
      </c>
      <c r="E64" s="7">
        <v>0</v>
      </c>
      <c r="F64" s="8">
        <v>3862.5</v>
      </c>
      <c r="G64" s="9">
        <f>IF(Table1[[#This Row],[Int/Ext]]="Internal", Table1[[#This Row],[Total Billed Amount]],Table1[[#This Row],[Total Billed Amount]]*Table1[[#This Row],[MSP Fees %]])</f>
        <v>3862.5</v>
      </c>
      <c r="H64" s="9">
        <f>IF(Table1[[#This Row],[Int/Ext]]="Internal",$H$1*Table1[[#This Row],[Total Billed Amount]],0)</f>
        <v>77.25</v>
      </c>
      <c r="I64" s="9">
        <f>IF(Table1[[#This Row],[Int/Ext]]="External",$I$1*Table1[[#This Row],[Net Billed Amount]],0)</f>
        <v>0</v>
      </c>
      <c r="J64" s="9">
        <f>SUM(Table1[[#This Row],[Sum of Internal Rebate]:[Sum of External Rebate]])</f>
        <v>77.25</v>
      </c>
    </row>
    <row r="65" spans="1:10" x14ac:dyDescent="0.25">
      <c r="A65" t="s">
        <v>78</v>
      </c>
      <c r="B65" s="6">
        <v>46009</v>
      </c>
      <c r="C65" t="s">
        <v>79</v>
      </c>
      <c r="D65" t="s">
        <v>12</v>
      </c>
      <c r="E65" s="7">
        <v>0</v>
      </c>
      <c r="F65" s="8">
        <v>840</v>
      </c>
      <c r="G65" s="9">
        <f>IF(Table1[[#This Row],[Int/Ext]]="Internal", Table1[[#This Row],[Total Billed Amount]],Table1[[#This Row],[Total Billed Amount]]*Table1[[#This Row],[MSP Fees %]])</f>
        <v>840</v>
      </c>
      <c r="H65" s="9">
        <f>IF(Table1[[#This Row],[Int/Ext]]="Internal",$H$1*Table1[[#This Row],[Total Billed Amount]],0)</f>
        <v>16.8</v>
      </c>
      <c r="I65" s="9">
        <f>IF(Table1[[#This Row],[Int/Ext]]="External",$I$1*Table1[[#This Row],[Net Billed Amount]],0)</f>
        <v>0</v>
      </c>
      <c r="J65" s="9">
        <f>SUM(Table1[[#This Row],[Sum of Internal Rebate]:[Sum of External Rebate]])</f>
        <v>16.8</v>
      </c>
    </row>
    <row r="66" spans="1:10" x14ac:dyDescent="0.25">
      <c r="A66" t="s">
        <v>78</v>
      </c>
      <c r="B66" s="6">
        <v>46020</v>
      </c>
      <c r="C66" t="s">
        <v>80</v>
      </c>
      <c r="D66" t="s">
        <v>12</v>
      </c>
      <c r="E66" s="7">
        <v>0</v>
      </c>
      <c r="F66" s="8">
        <v>2625</v>
      </c>
      <c r="G66" s="9">
        <f>IF(Table1[[#This Row],[Int/Ext]]="Internal", Table1[[#This Row],[Total Billed Amount]],Table1[[#This Row],[Total Billed Amount]]*Table1[[#This Row],[MSP Fees %]])</f>
        <v>2625</v>
      </c>
      <c r="H66" s="9">
        <f>IF(Table1[[#This Row],[Int/Ext]]="Internal",$H$1*Table1[[#This Row],[Total Billed Amount]],0)</f>
        <v>52.5</v>
      </c>
      <c r="I66" s="9">
        <f>IF(Table1[[#This Row],[Int/Ext]]="External",$I$1*Table1[[#This Row],[Net Billed Amount]],0)</f>
        <v>0</v>
      </c>
      <c r="J66" s="9">
        <f>SUM(Table1[[#This Row],[Sum of Internal Rebate]:[Sum of External Rebate]])</f>
        <v>52.5</v>
      </c>
    </row>
    <row r="67" spans="1:10" x14ac:dyDescent="0.25">
      <c r="A67" t="s">
        <v>81</v>
      </c>
      <c r="B67" s="6">
        <v>45932</v>
      </c>
      <c r="C67" t="s">
        <v>82</v>
      </c>
      <c r="D67" t="s">
        <v>12</v>
      </c>
      <c r="E67" s="7">
        <v>0</v>
      </c>
      <c r="F67" s="8">
        <v>3037.5</v>
      </c>
      <c r="G67" s="9">
        <f>IF(Table1[[#This Row],[Int/Ext]]="Internal", Table1[[#This Row],[Total Billed Amount]],Table1[[#This Row],[Total Billed Amount]]*Table1[[#This Row],[MSP Fees %]])</f>
        <v>3037.5</v>
      </c>
      <c r="H67" s="9">
        <f>IF(Table1[[#This Row],[Int/Ext]]="Internal",$H$1*Table1[[#This Row],[Total Billed Amount]],0)</f>
        <v>60.75</v>
      </c>
      <c r="I67" s="9">
        <f>IF(Table1[[#This Row],[Int/Ext]]="External",$I$1*Table1[[#This Row],[Net Billed Amount]],0)</f>
        <v>0</v>
      </c>
      <c r="J67" s="9">
        <f>SUM(Table1[[#This Row],[Sum of Internal Rebate]:[Sum of External Rebate]])</f>
        <v>60.75</v>
      </c>
    </row>
    <row r="68" spans="1:10" x14ac:dyDescent="0.25">
      <c r="A68" t="s">
        <v>81</v>
      </c>
      <c r="B68" s="6">
        <v>45946</v>
      </c>
      <c r="C68" t="s">
        <v>83</v>
      </c>
      <c r="D68" t="s">
        <v>12</v>
      </c>
      <c r="E68" s="7">
        <v>0</v>
      </c>
      <c r="F68" s="8">
        <v>3037.5</v>
      </c>
      <c r="G68" s="9">
        <f>IF(Table1[[#This Row],[Int/Ext]]="Internal", Table1[[#This Row],[Total Billed Amount]],Table1[[#This Row],[Total Billed Amount]]*Table1[[#This Row],[MSP Fees %]])</f>
        <v>3037.5</v>
      </c>
      <c r="H68" s="9">
        <f>IF(Table1[[#This Row],[Int/Ext]]="Internal",$H$1*Table1[[#This Row],[Total Billed Amount]],0)</f>
        <v>60.75</v>
      </c>
      <c r="I68" s="9">
        <f>IF(Table1[[#This Row],[Int/Ext]]="External",$I$1*Table1[[#This Row],[Net Billed Amount]],0)</f>
        <v>0</v>
      </c>
      <c r="J68" s="9">
        <f>SUM(Table1[[#This Row],[Sum of Internal Rebate]:[Sum of External Rebate]])</f>
        <v>60.75</v>
      </c>
    </row>
    <row r="69" spans="1:10" x14ac:dyDescent="0.25">
      <c r="A69" t="s">
        <v>81</v>
      </c>
      <c r="B69" s="6">
        <v>45953</v>
      </c>
      <c r="C69" t="s">
        <v>84</v>
      </c>
      <c r="D69" t="s">
        <v>12</v>
      </c>
      <c r="E69" s="7">
        <v>0</v>
      </c>
      <c r="F69" s="8">
        <v>1944</v>
      </c>
      <c r="G69" s="9">
        <f>IF(Table1[[#This Row],[Int/Ext]]="Internal", Table1[[#This Row],[Total Billed Amount]],Table1[[#This Row],[Total Billed Amount]]*Table1[[#This Row],[MSP Fees %]])</f>
        <v>1944</v>
      </c>
      <c r="H69" s="9">
        <f>IF(Table1[[#This Row],[Int/Ext]]="Internal",$H$1*Table1[[#This Row],[Total Billed Amount]],0)</f>
        <v>38.880000000000003</v>
      </c>
      <c r="I69" s="9">
        <f>IF(Table1[[#This Row],[Int/Ext]]="External",$I$1*Table1[[#This Row],[Net Billed Amount]],0)</f>
        <v>0</v>
      </c>
      <c r="J69" s="9">
        <f>SUM(Table1[[#This Row],[Sum of Internal Rebate]:[Sum of External Rebate]])</f>
        <v>38.880000000000003</v>
      </c>
    </row>
    <row r="70" spans="1:10" x14ac:dyDescent="0.25">
      <c r="A70" t="s">
        <v>81</v>
      </c>
      <c r="B70" s="6">
        <v>45960</v>
      </c>
      <c r="C70" t="s">
        <v>85</v>
      </c>
      <c r="D70" t="s">
        <v>12</v>
      </c>
      <c r="E70" s="7">
        <v>0</v>
      </c>
      <c r="F70" s="8">
        <v>3037.5</v>
      </c>
      <c r="G70" s="9">
        <f>IF(Table1[[#This Row],[Int/Ext]]="Internal", Table1[[#This Row],[Total Billed Amount]],Table1[[#This Row],[Total Billed Amount]]*Table1[[#This Row],[MSP Fees %]])</f>
        <v>3037.5</v>
      </c>
      <c r="H70" s="9">
        <f>IF(Table1[[#This Row],[Int/Ext]]="Internal",$H$1*Table1[[#This Row],[Total Billed Amount]],0)</f>
        <v>60.75</v>
      </c>
      <c r="I70" s="9">
        <f>IF(Table1[[#This Row],[Int/Ext]]="External",$I$1*Table1[[#This Row],[Net Billed Amount]],0)</f>
        <v>0</v>
      </c>
      <c r="J70" s="9">
        <f>SUM(Table1[[#This Row],[Sum of Internal Rebate]:[Sum of External Rebate]])</f>
        <v>60.75</v>
      </c>
    </row>
    <row r="71" spans="1:10" x14ac:dyDescent="0.25">
      <c r="A71" t="s">
        <v>81</v>
      </c>
      <c r="B71" s="6">
        <v>45960</v>
      </c>
      <c r="C71" t="s">
        <v>86</v>
      </c>
      <c r="D71" t="s">
        <v>12</v>
      </c>
      <c r="E71" s="7">
        <v>0</v>
      </c>
      <c r="F71" s="8">
        <v>2916</v>
      </c>
      <c r="G71" s="9">
        <f>IF(Table1[[#This Row],[Int/Ext]]="Internal", Table1[[#This Row],[Total Billed Amount]],Table1[[#This Row],[Total Billed Amount]]*Table1[[#This Row],[MSP Fees %]])</f>
        <v>2916</v>
      </c>
      <c r="H71" s="9">
        <f>IF(Table1[[#This Row],[Int/Ext]]="Internal",$H$1*Table1[[#This Row],[Total Billed Amount]],0)</f>
        <v>58.32</v>
      </c>
      <c r="I71" s="9">
        <f>IF(Table1[[#This Row],[Int/Ext]]="External",$I$1*Table1[[#This Row],[Net Billed Amount]],0)</f>
        <v>0</v>
      </c>
      <c r="J71" s="9">
        <f>SUM(Table1[[#This Row],[Sum of Internal Rebate]:[Sum of External Rebate]])</f>
        <v>58.32</v>
      </c>
    </row>
    <row r="72" spans="1:10" x14ac:dyDescent="0.25">
      <c r="A72" t="s">
        <v>81</v>
      </c>
      <c r="B72" s="6">
        <v>45960</v>
      </c>
      <c r="C72" t="s">
        <v>87</v>
      </c>
      <c r="D72" t="s">
        <v>12</v>
      </c>
      <c r="E72" s="7">
        <v>0</v>
      </c>
      <c r="F72" s="8">
        <v>3037.5</v>
      </c>
      <c r="G72" s="9">
        <f>IF(Table1[[#This Row],[Int/Ext]]="Internal", Table1[[#This Row],[Total Billed Amount]],Table1[[#This Row],[Total Billed Amount]]*Table1[[#This Row],[MSP Fees %]])</f>
        <v>3037.5</v>
      </c>
      <c r="H72" s="9">
        <f>IF(Table1[[#This Row],[Int/Ext]]="Internal",$H$1*Table1[[#This Row],[Total Billed Amount]],0)</f>
        <v>60.75</v>
      </c>
      <c r="I72" s="9">
        <f>IF(Table1[[#This Row],[Int/Ext]]="External",$I$1*Table1[[#This Row],[Net Billed Amount]],0)</f>
        <v>0</v>
      </c>
      <c r="J72" s="9">
        <f>SUM(Table1[[#This Row],[Sum of Internal Rebate]:[Sum of External Rebate]])</f>
        <v>60.75</v>
      </c>
    </row>
    <row r="73" spans="1:10" x14ac:dyDescent="0.25">
      <c r="A73" t="s">
        <v>81</v>
      </c>
      <c r="B73" s="6">
        <v>45974</v>
      </c>
      <c r="C73" t="s">
        <v>88</v>
      </c>
      <c r="D73" t="s">
        <v>12</v>
      </c>
      <c r="E73" s="7">
        <v>0</v>
      </c>
      <c r="F73" s="8">
        <v>972</v>
      </c>
      <c r="G73" s="9">
        <f>IF(Table1[[#This Row],[Int/Ext]]="Internal", Table1[[#This Row],[Total Billed Amount]],Table1[[#This Row],[Total Billed Amount]]*Table1[[#This Row],[MSP Fees %]])</f>
        <v>972</v>
      </c>
      <c r="H73" s="9">
        <f>IF(Table1[[#This Row],[Int/Ext]]="Internal",$H$1*Table1[[#This Row],[Total Billed Amount]],0)</f>
        <v>19.440000000000001</v>
      </c>
      <c r="I73" s="9">
        <f>IF(Table1[[#This Row],[Int/Ext]]="External",$I$1*Table1[[#This Row],[Net Billed Amount]],0)</f>
        <v>0</v>
      </c>
      <c r="J73" s="9">
        <f>SUM(Table1[[#This Row],[Sum of Internal Rebate]:[Sum of External Rebate]])</f>
        <v>19.440000000000001</v>
      </c>
    </row>
    <row r="74" spans="1:10" x14ac:dyDescent="0.25">
      <c r="A74" t="s">
        <v>81</v>
      </c>
      <c r="B74" s="6">
        <v>45974</v>
      </c>
      <c r="C74" t="s">
        <v>89</v>
      </c>
      <c r="D74" t="s">
        <v>12</v>
      </c>
      <c r="E74" s="7">
        <v>0</v>
      </c>
      <c r="F74" s="8">
        <v>3037.5</v>
      </c>
      <c r="G74" s="9">
        <f>IF(Table1[[#This Row],[Int/Ext]]="Internal", Table1[[#This Row],[Total Billed Amount]],Table1[[#This Row],[Total Billed Amount]]*Table1[[#This Row],[MSP Fees %]])</f>
        <v>3037.5</v>
      </c>
      <c r="H74" s="9">
        <f>IF(Table1[[#This Row],[Int/Ext]]="Internal",$H$1*Table1[[#This Row],[Total Billed Amount]],0)</f>
        <v>60.75</v>
      </c>
      <c r="I74" s="9">
        <f>IF(Table1[[#This Row],[Int/Ext]]="External",$I$1*Table1[[#This Row],[Net Billed Amount]],0)</f>
        <v>0</v>
      </c>
      <c r="J74" s="9">
        <f>SUM(Table1[[#This Row],[Sum of Internal Rebate]:[Sum of External Rebate]])</f>
        <v>60.75</v>
      </c>
    </row>
    <row r="75" spans="1:10" x14ac:dyDescent="0.25">
      <c r="A75" t="s">
        <v>81</v>
      </c>
      <c r="B75" s="6">
        <v>45981</v>
      </c>
      <c r="C75" t="s">
        <v>90</v>
      </c>
      <c r="D75" t="s">
        <v>12</v>
      </c>
      <c r="E75" s="7">
        <v>0</v>
      </c>
      <c r="F75" s="8">
        <v>3037.5</v>
      </c>
      <c r="G75" s="9">
        <f>IF(Table1[[#This Row],[Int/Ext]]="Internal", Table1[[#This Row],[Total Billed Amount]],Table1[[#This Row],[Total Billed Amount]]*Table1[[#This Row],[MSP Fees %]])</f>
        <v>3037.5</v>
      </c>
      <c r="H75" s="9">
        <f>IF(Table1[[#This Row],[Int/Ext]]="Internal",$H$1*Table1[[#This Row],[Total Billed Amount]],0)</f>
        <v>60.75</v>
      </c>
      <c r="I75" s="9">
        <f>IF(Table1[[#This Row],[Int/Ext]]="External",$I$1*Table1[[#This Row],[Net Billed Amount]],0)</f>
        <v>0</v>
      </c>
      <c r="J75" s="9">
        <f>SUM(Table1[[#This Row],[Sum of Internal Rebate]:[Sum of External Rebate]])</f>
        <v>60.75</v>
      </c>
    </row>
    <row r="76" spans="1:10" x14ac:dyDescent="0.25">
      <c r="A76" t="s">
        <v>81</v>
      </c>
      <c r="B76" s="6">
        <v>45981</v>
      </c>
      <c r="C76" t="s">
        <v>91</v>
      </c>
      <c r="D76" t="s">
        <v>12</v>
      </c>
      <c r="E76" s="7">
        <v>0</v>
      </c>
      <c r="F76" s="8">
        <v>2916</v>
      </c>
      <c r="G76" s="9">
        <f>IF(Table1[[#This Row],[Int/Ext]]="Internal", Table1[[#This Row],[Total Billed Amount]],Table1[[#This Row],[Total Billed Amount]]*Table1[[#This Row],[MSP Fees %]])</f>
        <v>2916</v>
      </c>
      <c r="H76" s="9">
        <f>IF(Table1[[#This Row],[Int/Ext]]="Internal",$H$1*Table1[[#This Row],[Total Billed Amount]],0)</f>
        <v>58.32</v>
      </c>
      <c r="I76" s="9">
        <f>IF(Table1[[#This Row],[Int/Ext]]="External",$I$1*Table1[[#This Row],[Net Billed Amount]],0)</f>
        <v>0</v>
      </c>
      <c r="J76" s="9">
        <f>SUM(Table1[[#This Row],[Sum of Internal Rebate]:[Sum of External Rebate]])</f>
        <v>58.32</v>
      </c>
    </row>
    <row r="77" spans="1:10" x14ac:dyDescent="0.25">
      <c r="A77" t="s">
        <v>81</v>
      </c>
      <c r="B77" s="6">
        <v>45981</v>
      </c>
      <c r="C77" t="s">
        <v>92</v>
      </c>
      <c r="D77" t="s">
        <v>12</v>
      </c>
      <c r="E77" s="7">
        <v>0</v>
      </c>
      <c r="F77" s="8">
        <v>3037.5</v>
      </c>
      <c r="G77" s="9">
        <f>IF(Table1[[#This Row],[Int/Ext]]="Internal", Table1[[#This Row],[Total Billed Amount]],Table1[[#This Row],[Total Billed Amount]]*Table1[[#This Row],[MSP Fees %]])</f>
        <v>3037.5</v>
      </c>
      <c r="H77" s="9">
        <f>IF(Table1[[#This Row],[Int/Ext]]="Internal",$H$1*Table1[[#This Row],[Total Billed Amount]],0)</f>
        <v>60.75</v>
      </c>
      <c r="I77" s="9">
        <f>IF(Table1[[#This Row],[Int/Ext]]="External",$I$1*Table1[[#This Row],[Net Billed Amount]],0)</f>
        <v>0</v>
      </c>
      <c r="J77" s="9">
        <f>SUM(Table1[[#This Row],[Sum of Internal Rebate]:[Sum of External Rebate]])</f>
        <v>60.75</v>
      </c>
    </row>
    <row r="78" spans="1:10" x14ac:dyDescent="0.25">
      <c r="A78" t="s">
        <v>81</v>
      </c>
      <c r="B78" s="6">
        <v>45981</v>
      </c>
      <c r="C78" t="s">
        <v>93</v>
      </c>
      <c r="D78" t="s">
        <v>12</v>
      </c>
      <c r="E78" s="7">
        <v>0</v>
      </c>
      <c r="F78" s="8">
        <v>3037.5</v>
      </c>
      <c r="G78" s="9">
        <f>IF(Table1[[#This Row],[Int/Ext]]="Internal", Table1[[#This Row],[Total Billed Amount]],Table1[[#This Row],[Total Billed Amount]]*Table1[[#This Row],[MSP Fees %]])</f>
        <v>3037.5</v>
      </c>
      <c r="H78" s="9">
        <f>IF(Table1[[#This Row],[Int/Ext]]="Internal",$H$1*Table1[[#This Row],[Total Billed Amount]],0)</f>
        <v>60.75</v>
      </c>
      <c r="I78" s="9">
        <f>IF(Table1[[#This Row],[Int/Ext]]="External",$I$1*Table1[[#This Row],[Net Billed Amount]],0)</f>
        <v>0</v>
      </c>
      <c r="J78" s="9">
        <f>SUM(Table1[[#This Row],[Sum of Internal Rebate]:[Sum of External Rebate]])</f>
        <v>60.75</v>
      </c>
    </row>
    <row r="79" spans="1:10" x14ac:dyDescent="0.25">
      <c r="A79" t="s">
        <v>81</v>
      </c>
      <c r="B79" s="6">
        <v>45992</v>
      </c>
      <c r="C79" t="s">
        <v>94</v>
      </c>
      <c r="D79" t="s">
        <v>12</v>
      </c>
      <c r="E79" s="7">
        <v>0</v>
      </c>
      <c r="F79" s="8">
        <v>3602</v>
      </c>
      <c r="G79" s="9">
        <f>IF(Table1[[#This Row],[Int/Ext]]="Internal", Table1[[#This Row],[Total Billed Amount]],Table1[[#This Row],[Total Billed Amount]]*Table1[[#This Row],[MSP Fees %]])</f>
        <v>3602</v>
      </c>
      <c r="H79" s="9">
        <f>IF(Table1[[#This Row],[Int/Ext]]="Internal",$H$1*Table1[[#This Row],[Total Billed Amount]],0)</f>
        <v>72.040000000000006</v>
      </c>
      <c r="I79" s="9">
        <f>IF(Table1[[#This Row],[Int/Ext]]="External",$I$1*Table1[[#This Row],[Net Billed Amount]],0)</f>
        <v>0</v>
      </c>
      <c r="J79" s="9">
        <f>SUM(Table1[[#This Row],[Sum of Internal Rebate]:[Sum of External Rebate]])</f>
        <v>72.040000000000006</v>
      </c>
    </row>
    <row r="80" spans="1:10" x14ac:dyDescent="0.25">
      <c r="A80" t="s">
        <v>81</v>
      </c>
      <c r="B80" s="6">
        <v>45992</v>
      </c>
      <c r="C80" t="s">
        <v>95</v>
      </c>
      <c r="D80" t="s">
        <v>12</v>
      </c>
      <c r="E80" s="7">
        <v>0</v>
      </c>
      <c r="F80" s="8">
        <v>2050</v>
      </c>
      <c r="G80" s="9">
        <f>IF(Table1[[#This Row],[Int/Ext]]="Internal", Table1[[#This Row],[Total Billed Amount]],Table1[[#This Row],[Total Billed Amount]]*Table1[[#This Row],[MSP Fees %]])</f>
        <v>2050</v>
      </c>
      <c r="H80" s="9">
        <f>IF(Table1[[#This Row],[Int/Ext]]="Internal",$H$1*Table1[[#This Row],[Total Billed Amount]],0)</f>
        <v>41</v>
      </c>
      <c r="I80" s="9">
        <f>IF(Table1[[#This Row],[Int/Ext]]="External",$I$1*Table1[[#This Row],[Net Billed Amount]],0)</f>
        <v>0</v>
      </c>
      <c r="J80" s="9">
        <f>SUM(Table1[[#This Row],[Sum of Internal Rebate]:[Sum of External Rebate]])</f>
        <v>41</v>
      </c>
    </row>
    <row r="81" spans="1:10" x14ac:dyDescent="0.25">
      <c r="A81" t="s">
        <v>81</v>
      </c>
      <c r="B81" s="6">
        <v>45995</v>
      </c>
      <c r="C81" t="s">
        <v>96</v>
      </c>
      <c r="D81" t="s">
        <v>12</v>
      </c>
      <c r="E81" s="7">
        <v>0</v>
      </c>
      <c r="F81" s="8">
        <v>3620</v>
      </c>
      <c r="G81" s="9">
        <f>IF(Table1[[#This Row],[Int/Ext]]="Internal", Table1[[#This Row],[Total Billed Amount]],Table1[[#This Row],[Total Billed Amount]]*Table1[[#This Row],[MSP Fees %]])</f>
        <v>3620</v>
      </c>
      <c r="H81" s="9">
        <f>IF(Table1[[#This Row],[Int/Ext]]="Internal",$H$1*Table1[[#This Row],[Total Billed Amount]],0)</f>
        <v>72.400000000000006</v>
      </c>
      <c r="I81" s="9">
        <f>IF(Table1[[#This Row],[Int/Ext]]="External",$I$1*Table1[[#This Row],[Net Billed Amount]],0)</f>
        <v>0</v>
      </c>
      <c r="J81" s="9">
        <f>SUM(Table1[[#This Row],[Sum of Internal Rebate]:[Sum of External Rebate]])</f>
        <v>72.400000000000006</v>
      </c>
    </row>
    <row r="82" spans="1:10" x14ac:dyDescent="0.25">
      <c r="A82" t="s">
        <v>81</v>
      </c>
      <c r="B82" s="6">
        <v>45995</v>
      </c>
      <c r="C82" t="s">
        <v>97</v>
      </c>
      <c r="D82" t="s">
        <v>12</v>
      </c>
      <c r="E82" s="7">
        <v>0</v>
      </c>
      <c r="F82" s="8">
        <v>3312</v>
      </c>
      <c r="G82" s="9">
        <f>IF(Table1[[#This Row],[Int/Ext]]="Internal", Table1[[#This Row],[Total Billed Amount]],Table1[[#This Row],[Total Billed Amount]]*Table1[[#This Row],[MSP Fees %]])</f>
        <v>3312</v>
      </c>
      <c r="H82" s="9">
        <f>IF(Table1[[#This Row],[Int/Ext]]="Internal",$H$1*Table1[[#This Row],[Total Billed Amount]],0)</f>
        <v>66.239999999999995</v>
      </c>
      <c r="I82" s="9">
        <f>IF(Table1[[#This Row],[Int/Ext]]="External",$I$1*Table1[[#This Row],[Net Billed Amount]],0)</f>
        <v>0</v>
      </c>
      <c r="J82" s="9">
        <f>SUM(Table1[[#This Row],[Sum of Internal Rebate]:[Sum of External Rebate]])</f>
        <v>66.239999999999995</v>
      </c>
    </row>
    <row r="83" spans="1:10" x14ac:dyDescent="0.25">
      <c r="A83" t="s">
        <v>81</v>
      </c>
      <c r="B83" s="6">
        <v>45995</v>
      </c>
      <c r="C83" t="s">
        <v>98</v>
      </c>
      <c r="D83" t="s">
        <v>12</v>
      </c>
      <c r="E83" s="7">
        <v>0</v>
      </c>
      <c r="F83" s="8">
        <v>3268.76</v>
      </c>
      <c r="G83" s="9">
        <f>IF(Table1[[#This Row],[Int/Ext]]="Internal", Table1[[#This Row],[Total Billed Amount]],Table1[[#This Row],[Total Billed Amount]]*Table1[[#This Row],[MSP Fees %]])</f>
        <v>3268.76</v>
      </c>
      <c r="H83" s="9">
        <f>IF(Table1[[#This Row],[Int/Ext]]="Internal",$H$1*Table1[[#This Row],[Total Billed Amount]],0)</f>
        <v>65.375200000000007</v>
      </c>
      <c r="I83" s="9">
        <f>IF(Table1[[#This Row],[Int/Ext]]="External",$I$1*Table1[[#This Row],[Net Billed Amount]],0)</f>
        <v>0</v>
      </c>
      <c r="J83" s="9">
        <f>SUM(Table1[[#This Row],[Sum of Internal Rebate]:[Sum of External Rebate]])</f>
        <v>65.375200000000007</v>
      </c>
    </row>
    <row r="84" spans="1:10" x14ac:dyDescent="0.25">
      <c r="A84" t="s">
        <v>81</v>
      </c>
      <c r="B84" s="6">
        <v>45995</v>
      </c>
      <c r="C84" t="s">
        <v>99</v>
      </c>
      <c r="D84" t="s">
        <v>12</v>
      </c>
      <c r="E84" s="7">
        <v>0</v>
      </c>
      <c r="F84" s="8">
        <v>1863</v>
      </c>
      <c r="G84" s="9">
        <f>IF(Table1[[#This Row],[Int/Ext]]="Internal", Table1[[#This Row],[Total Billed Amount]],Table1[[#This Row],[Total Billed Amount]]*Table1[[#This Row],[MSP Fees %]])</f>
        <v>1863</v>
      </c>
      <c r="H84" s="9">
        <f>IF(Table1[[#This Row],[Int/Ext]]="Internal",$H$1*Table1[[#This Row],[Total Billed Amount]],0)</f>
        <v>37.26</v>
      </c>
      <c r="I84" s="9">
        <f>IF(Table1[[#This Row],[Int/Ext]]="External",$I$1*Table1[[#This Row],[Net Billed Amount]],0)</f>
        <v>0</v>
      </c>
      <c r="J84" s="9">
        <f>SUM(Table1[[#This Row],[Sum of Internal Rebate]:[Sum of External Rebate]])</f>
        <v>37.26</v>
      </c>
    </row>
    <row r="85" spans="1:10" x14ac:dyDescent="0.25">
      <c r="A85" t="s">
        <v>81</v>
      </c>
      <c r="B85" s="6">
        <v>45995</v>
      </c>
      <c r="C85" t="s">
        <v>100</v>
      </c>
      <c r="D85" t="s">
        <v>12</v>
      </c>
      <c r="E85" s="7">
        <v>0</v>
      </c>
      <c r="F85" s="8">
        <v>3523.5</v>
      </c>
      <c r="G85" s="9">
        <f>IF(Table1[[#This Row],[Int/Ext]]="Internal", Table1[[#This Row],[Total Billed Amount]],Table1[[#This Row],[Total Billed Amount]]*Table1[[#This Row],[MSP Fees %]])</f>
        <v>3523.5</v>
      </c>
      <c r="H85" s="9">
        <f>IF(Table1[[#This Row],[Int/Ext]]="Internal",$H$1*Table1[[#This Row],[Total Billed Amount]],0)</f>
        <v>70.47</v>
      </c>
      <c r="I85" s="9">
        <f>IF(Table1[[#This Row],[Int/Ext]]="External",$I$1*Table1[[#This Row],[Net Billed Amount]],0)</f>
        <v>0</v>
      </c>
      <c r="J85" s="9">
        <f>SUM(Table1[[#This Row],[Sum of Internal Rebate]:[Sum of External Rebate]])</f>
        <v>70.47</v>
      </c>
    </row>
    <row r="86" spans="1:10" x14ac:dyDescent="0.25">
      <c r="A86" t="s">
        <v>81</v>
      </c>
      <c r="B86" s="6">
        <v>46002</v>
      </c>
      <c r="C86" t="s">
        <v>101</v>
      </c>
      <c r="D86" t="s">
        <v>12</v>
      </c>
      <c r="E86" s="7">
        <v>0</v>
      </c>
      <c r="F86" s="8">
        <v>2233</v>
      </c>
      <c r="G86" s="9">
        <f>IF(Table1[[#This Row],[Int/Ext]]="Internal", Table1[[#This Row],[Total Billed Amount]],Table1[[#This Row],[Total Billed Amount]]*Table1[[#This Row],[MSP Fees %]])</f>
        <v>2233</v>
      </c>
      <c r="H86" s="9">
        <f>IF(Table1[[#This Row],[Int/Ext]]="Internal",$H$1*Table1[[#This Row],[Total Billed Amount]],0)</f>
        <v>44.660000000000004</v>
      </c>
      <c r="I86" s="9">
        <f>IF(Table1[[#This Row],[Int/Ext]]="External",$I$1*Table1[[#This Row],[Net Billed Amount]],0)</f>
        <v>0</v>
      </c>
      <c r="J86" s="9">
        <f>SUM(Table1[[#This Row],[Sum of Internal Rebate]:[Sum of External Rebate]])</f>
        <v>44.660000000000004</v>
      </c>
    </row>
    <row r="87" spans="1:10" x14ac:dyDescent="0.25">
      <c r="A87" t="s">
        <v>81</v>
      </c>
      <c r="B87" s="6">
        <v>46002</v>
      </c>
      <c r="C87" t="s">
        <v>102</v>
      </c>
      <c r="D87" t="s">
        <v>12</v>
      </c>
      <c r="E87" s="7">
        <v>0</v>
      </c>
      <c r="F87" s="8">
        <v>1944</v>
      </c>
      <c r="G87" s="9">
        <f>IF(Table1[[#This Row],[Int/Ext]]="Internal", Table1[[#This Row],[Total Billed Amount]],Table1[[#This Row],[Total Billed Amount]]*Table1[[#This Row],[MSP Fees %]])</f>
        <v>1944</v>
      </c>
      <c r="H87" s="9">
        <f>IF(Table1[[#This Row],[Int/Ext]]="Internal",$H$1*Table1[[#This Row],[Total Billed Amount]],0)</f>
        <v>38.880000000000003</v>
      </c>
      <c r="I87" s="9">
        <f>IF(Table1[[#This Row],[Int/Ext]]="External",$I$1*Table1[[#This Row],[Net Billed Amount]],0)</f>
        <v>0</v>
      </c>
      <c r="J87" s="9">
        <f>SUM(Table1[[#This Row],[Sum of Internal Rebate]:[Sum of External Rebate]])</f>
        <v>38.880000000000003</v>
      </c>
    </row>
    <row r="88" spans="1:10" x14ac:dyDescent="0.25">
      <c r="A88" t="s">
        <v>81</v>
      </c>
      <c r="B88" s="6">
        <v>46002</v>
      </c>
      <c r="C88" t="s">
        <v>103</v>
      </c>
      <c r="D88" t="s">
        <v>12</v>
      </c>
      <c r="E88" s="7">
        <v>0</v>
      </c>
      <c r="F88" s="8">
        <v>3037.5</v>
      </c>
      <c r="G88" s="9">
        <f>IF(Table1[[#This Row],[Int/Ext]]="Internal", Table1[[#This Row],[Total Billed Amount]],Table1[[#This Row],[Total Billed Amount]]*Table1[[#This Row],[MSP Fees %]])</f>
        <v>3037.5</v>
      </c>
      <c r="H88" s="9">
        <f>IF(Table1[[#This Row],[Int/Ext]]="Internal",$H$1*Table1[[#This Row],[Total Billed Amount]],0)</f>
        <v>60.75</v>
      </c>
      <c r="I88" s="9">
        <f>IF(Table1[[#This Row],[Int/Ext]]="External",$I$1*Table1[[#This Row],[Net Billed Amount]],0)</f>
        <v>0</v>
      </c>
      <c r="J88" s="9">
        <f>SUM(Table1[[#This Row],[Sum of Internal Rebate]:[Sum of External Rebate]])</f>
        <v>60.75</v>
      </c>
    </row>
    <row r="89" spans="1:10" x14ac:dyDescent="0.25">
      <c r="A89" t="s">
        <v>81</v>
      </c>
      <c r="B89" s="6">
        <v>46002</v>
      </c>
      <c r="C89" t="s">
        <v>104</v>
      </c>
      <c r="D89" t="s">
        <v>12</v>
      </c>
      <c r="E89" s="7">
        <v>0</v>
      </c>
      <c r="F89" s="8">
        <v>3037.5</v>
      </c>
      <c r="G89" s="9">
        <f>IF(Table1[[#This Row],[Int/Ext]]="Internal", Table1[[#This Row],[Total Billed Amount]],Table1[[#This Row],[Total Billed Amount]]*Table1[[#This Row],[MSP Fees %]])</f>
        <v>3037.5</v>
      </c>
      <c r="H89" s="9">
        <f>IF(Table1[[#This Row],[Int/Ext]]="Internal",$H$1*Table1[[#This Row],[Total Billed Amount]],0)</f>
        <v>60.75</v>
      </c>
      <c r="I89" s="9">
        <f>IF(Table1[[#This Row],[Int/Ext]]="External",$I$1*Table1[[#This Row],[Net Billed Amount]],0)</f>
        <v>0</v>
      </c>
      <c r="J89" s="9">
        <f>SUM(Table1[[#This Row],[Sum of Internal Rebate]:[Sum of External Rebate]])</f>
        <v>60.75</v>
      </c>
    </row>
    <row r="90" spans="1:10" x14ac:dyDescent="0.25">
      <c r="A90" t="s">
        <v>81</v>
      </c>
      <c r="B90" s="6">
        <v>46009</v>
      </c>
      <c r="C90" t="s">
        <v>105</v>
      </c>
      <c r="D90" t="s">
        <v>12</v>
      </c>
      <c r="E90" s="7">
        <v>0</v>
      </c>
      <c r="F90" s="8">
        <v>2424</v>
      </c>
      <c r="G90" s="9">
        <f>IF(Table1[[#This Row],[Int/Ext]]="Internal", Table1[[#This Row],[Total Billed Amount]],Table1[[#This Row],[Total Billed Amount]]*Table1[[#This Row],[MSP Fees %]])</f>
        <v>2424</v>
      </c>
      <c r="H90" s="9">
        <f>IF(Table1[[#This Row],[Int/Ext]]="Internal",$H$1*Table1[[#This Row],[Total Billed Amount]],0)</f>
        <v>48.480000000000004</v>
      </c>
      <c r="I90" s="9">
        <f>IF(Table1[[#This Row],[Int/Ext]]="External",$I$1*Table1[[#This Row],[Net Billed Amount]],0)</f>
        <v>0</v>
      </c>
      <c r="J90" s="9">
        <f>SUM(Table1[[#This Row],[Sum of Internal Rebate]:[Sum of External Rebate]])</f>
        <v>48.480000000000004</v>
      </c>
    </row>
    <row r="91" spans="1:10" x14ac:dyDescent="0.25">
      <c r="A91" t="s">
        <v>81</v>
      </c>
      <c r="B91" s="6">
        <v>46009</v>
      </c>
      <c r="C91" t="s">
        <v>106</v>
      </c>
      <c r="D91" t="s">
        <v>12</v>
      </c>
      <c r="E91" s="7">
        <v>0</v>
      </c>
      <c r="F91" s="8">
        <v>2025</v>
      </c>
      <c r="G91" s="9">
        <f>IF(Table1[[#This Row],[Int/Ext]]="Internal", Table1[[#This Row],[Total Billed Amount]],Table1[[#This Row],[Total Billed Amount]]*Table1[[#This Row],[MSP Fees %]])</f>
        <v>2025</v>
      </c>
      <c r="H91" s="9">
        <f>IF(Table1[[#This Row],[Int/Ext]]="Internal",$H$1*Table1[[#This Row],[Total Billed Amount]],0)</f>
        <v>40.5</v>
      </c>
      <c r="I91" s="9">
        <f>IF(Table1[[#This Row],[Int/Ext]]="External",$I$1*Table1[[#This Row],[Net Billed Amount]],0)</f>
        <v>0</v>
      </c>
      <c r="J91" s="9">
        <f>SUM(Table1[[#This Row],[Sum of Internal Rebate]:[Sum of External Rebate]])</f>
        <v>40.5</v>
      </c>
    </row>
    <row r="92" spans="1:10" x14ac:dyDescent="0.25">
      <c r="A92" t="s">
        <v>81</v>
      </c>
      <c r="B92" s="6">
        <v>46020</v>
      </c>
      <c r="C92" t="s">
        <v>107</v>
      </c>
      <c r="D92" t="s">
        <v>12</v>
      </c>
      <c r="E92" s="7">
        <v>0</v>
      </c>
      <c r="F92" s="8">
        <v>3526</v>
      </c>
      <c r="G92" s="9">
        <f>IF(Table1[[#This Row],[Int/Ext]]="Internal", Table1[[#This Row],[Total Billed Amount]],Table1[[#This Row],[Total Billed Amount]]*Table1[[#This Row],[MSP Fees %]])</f>
        <v>3526</v>
      </c>
      <c r="H92" s="9">
        <f>IF(Table1[[#This Row],[Int/Ext]]="Internal",$H$1*Table1[[#This Row],[Total Billed Amount]],0)</f>
        <v>70.52</v>
      </c>
      <c r="I92" s="9">
        <f>IF(Table1[[#This Row],[Int/Ext]]="External",$I$1*Table1[[#This Row],[Net Billed Amount]],0)</f>
        <v>0</v>
      </c>
      <c r="J92" s="9">
        <f>SUM(Table1[[#This Row],[Sum of Internal Rebate]:[Sum of External Rebate]])</f>
        <v>70.52</v>
      </c>
    </row>
    <row r="93" spans="1:10" x14ac:dyDescent="0.25">
      <c r="A93" t="s">
        <v>81</v>
      </c>
      <c r="B93" s="6">
        <v>46020</v>
      </c>
      <c r="C93" t="s">
        <v>108</v>
      </c>
      <c r="D93" t="s">
        <v>12</v>
      </c>
      <c r="E93" s="7">
        <v>0</v>
      </c>
      <c r="F93" s="8">
        <v>3037.5</v>
      </c>
      <c r="G93" s="9">
        <f>IF(Table1[[#This Row],[Int/Ext]]="Internal", Table1[[#This Row],[Total Billed Amount]],Table1[[#This Row],[Total Billed Amount]]*Table1[[#This Row],[MSP Fees %]])</f>
        <v>3037.5</v>
      </c>
      <c r="H93" s="9">
        <f>IF(Table1[[#This Row],[Int/Ext]]="Internal",$H$1*Table1[[#This Row],[Total Billed Amount]],0)</f>
        <v>60.75</v>
      </c>
      <c r="I93" s="9">
        <f>IF(Table1[[#This Row],[Int/Ext]]="External",$I$1*Table1[[#This Row],[Net Billed Amount]],0)</f>
        <v>0</v>
      </c>
      <c r="J93" s="9">
        <f>SUM(Table1[[#This Row],[Sum of Internal Rebate]:[Sum of External Rebate]])</f>
        <v>60.75</v>
      </c>
    </row>
    <row r="94" spans="1:10" x14ac:dyDescent="0.25">
      <c r="B94" s="6"/>
      <c r="F94" s="9"/>
      <c r="G94" s="9">
        <f>SUBTOTAL(109,Table1[Net Billed Amount])</f>
        <v>316907.50860000006</v>
      </c>
      <c r="H94" s="9">
        <f>SUBTOTAL(9,Table1[Sum of Internal Rebate])</f>
        <v>6332.500799999998</v>
      </c>
      <c r="I94" s="9">
        <f>SUBTOTAL(9,Table1[Sum of External Rebate])</f>
        <v>56.493719999999996</v>
      </c>
      <c r="J94" s="9">
        <f>SUBTOTAL(109,Table1[Sum of Total Rebates])</f>
        <v>6388.9945199999984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4E80-6C6A-4F89-BCC5-D267A4F2B7D9}">
  <dimension ref="A1:B8"/>
  <sheetViews>
    <sheetView tabSelected="1" workbookViewId="0"/>
  </sheetViews>
  <sheetFormatPr defaultRowHeight="15" x14ac:dyDescent="0.25"/>
  <cols>
    <col min="1" max="1" width="43.28515625" bestFit="1" customWidth="1"/>
    <col min="2" max="2" width="27.28515625" bestFit="1" customWidth="1"/>
  </cols>
  <sheetData>
    <row r="1" spans="1:2" x14ac:dyDescent="0.25">
      <c r="A1" s="11" t="s">
        <v>109</v>
      </c>
      <c r="B1" t="s">
        <v>111</v>
      </c>
    </row>
    <row r="2" spans="1:2" x14ac:dyDescent="0.25">
      <c r="A2" s="12" t="s">
        <v>10</v>
      </c>
      <c r="B2" s="9">
        <v>1785.4345999999998</v>
      </c>
    </row>
    <row r="3" spans="1:2" x14ac:dyDescent="0.25">
      <c r="A3" s="12" t="s">
        <v>35</v>
      </c>
      <c r="B3" s="9">
        <v>599.61599999999999</v>
      </c>
    </row>
    <row r="4" spans="1:2" x14ac:dyDescent="0.25">
      <c r="A4" s="12" t="s">
        <v>45</v>
      </c>
      <c r="B4" s="9">
        <v>1898.8237199999999</v>
      </c>
    </row>
    <row r="5" spans="1:2" x14ac:dyDescent="0.25">
      <c r="A5" s="12" t="s">
        <v>70</v>
      </c>
      <c r="B5" s="9">
        <v>524.78500000000008</v>
      </c>
    </row>
    <row r="6" spans="1:2" x14ac:dyDescent="0.25">
      <c r="A6" s="12" t="s">
        <v>78</v>
      </c>
      <c r="B6" s="9">
        <v>69.3</v>
      </c>
    </row>
    <row r="7" spans="1:2" x14ac:dyDescent="0.25">
      <c r="A7" s="12" t="s">
        <v>81</v>
      </c>
      <c r="B7" s="9">
        <v>1511.0352000000003</v>
      </c>
    </row>
    <row r="8" spans="1:2" x14ac:dyDescent="0.25">
      <c r="A8" s="12" t="s">
        <v>110</v>
      </c>
      <c r="B8" s="9">
        <v>6388.9945199999993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Rebate Report</vt:lpstr>
      <vt:lpstr>Sheet1</vt:lpstr>
    </vt:vector>
  </TitlesOfParts>
  <Company>Medical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Deuel</dc:creator>
  <cp:lastModifiedBy>Kelsey Liebmann</cp:lastModifiedBy>
  <dcterms:created xsi:type="dcterms:W3CDTF">2026-01-26T22:02:01Z</dcterms:created>
  <dcterms:modified xsi:type="dcterms:W3CDTF">2026-02-10T20:24:46Z</dcterms:modified>
</cp:coreProperties>
</file>