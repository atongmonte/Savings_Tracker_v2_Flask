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ntefioreorg-my.sharepoint.com/personal/atong_montefiore_org/Documents/Savings_Tracker_v2_Flask/Rebate Initiatives - 03.10.2026/Rebate Initiatives - 03.10.2026/"/>
    </mc:Choice>
  </mc:AlternateContent>
  <xr:revisionPtr revIDLastSave="2" documentId="13_ncr:1_{6D0E351A-55E0-43A4-A5A4-2F7BE1B4FDC9}" xr6:coauthVersionLast="47" xr6:coauthVersionMax="47" xr10:uidLastSave="{253FCD93-6B32-46C1-8995-541B9E64DDC3}"/>
  <bookViews>
    <workbookView xWindow="30750" yWindow="1950" windowWidth="25125" windowHeight="12735" tabRatio="888" firstSheet="2" activeTab="2" xr2:uid="{00000000-000D-0000-FFFF-FFFF00000000}"/>
  </bookViews>
  <sheets>
    <sheet name="Rebate Initiatives" sheetId="1" state="hidden" r:id="rId1"/>
    <sheet name="Rebate_09.16.24_raw" sheetId="2" state="hidden" r:id="rId2"/>
    <sheet name="Rebate_03.10.26" sheetId="19" r:id="rId3"/>
    <sheet name="Rebate_01.12.26" sheetId="18" r:id="rId4"/>
    <sheet name="Rebate_11.24.25" sheetId="17" r:id="rId5"/>
    <sheet name="Rebate_09.26.25" sheetId="16" r:id="rId6"/>
    <sheet name="Rebate_07.22.25" sheetId="14" r:id="rId7"/>
    <sheet name="Rebate_06.04.25" sheetId="15" r:id="rId8"/>
    <sheet name="Rebate_04.28.25" sheetId="3" r:id="rId9"/>
    <sheet name="Rebate_03.25.25" sheetId="4" r:id="rId10"/>
    <sheet name="Rebate_02.14.25" sheetId="5" r:id="rId11"/>
    <sheet name="Rebate_12.19.24" sheetId="6" r:id="rId12"/>
    <sheet name="Rebate_11.14.24" sheetId="7" r:id="rId13"/>
    <sheet name="Rebate_10.09.24" sheetId="8" r:id="rId14"/>
    <sheet name="Rebate_09.16.24" sheetId="9" r:id="rId15"/>
    <sheet name="Rebate_07.11.24" sheetId="10" r:id="rId16"/>
    <sheet name="Rebate_06.07.24" sheetId="11" r:id="rId17"/>
    <sheet name="attachments" sheetId="12" state="hidden" r:id="rId18"/>
  </sheets>
  <definedNames>
    <definedName name="_xlnm._FilterDatabase" localSheetId="0" hidden="1">'Rebate Initiatives'!$A$1:$BE$15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9" l="1"/>
  <c r="V4" i="19"/>
  <c r="AB3" i="19"/>
  <c r="AB4" i="19"/>
  <c r="AB25" i="19"/>
  <c r="Z3" i="19"/>
  <c r="Z4" i="19"/>
  <c r="Z11" i="19"/>
  <c r="Z22" i="19"/>
  <c r="Z25" i="19"/>
  <c r="Z26" i="19"/>
  <c r="Z28" i="19"/>
  <c r="Z29" i="19"/>
  <c r="X3" i="19"/>
  <c r="X4" i="19"/>
  <c r="X5" i="19"/>
  <c r="X11" i="19"/>
  <c r="X12" i="19"/>
  <c r="X13" i="19"/>
  <c r="X14" i="19"/>
  <c r="X15" i="19"/>
  <c r="X18" i="19"/>
  <c r="X21" i="19"/>
  <c r="X22" i="19"/>
  <c r="X23" i="19"/>
  <c r="X25" i="19"/>
  <c r="X26" i="19"/>
  <c r="X27" i="19"/>
  <c r="X28" i="19"/>
  <c r="X29" i="19"/>
  <c r="V3" i="19"/>
  <c r="V5" i="19"/>
  <c r="V6" i="19"/>
  <c r="V7" i="19"/>
  <c r="V8" i="19"/>
  <c r="V9" i="19"/>
  <c r="V10" i="19"/>
  <c r="V11" i="19"/>
  <c r="V12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2" i="19"/>
  <c r="AB3" i="18"/>
  <c r="Z3" i="18"/>
  <c r="Z5" i="18"/>
  <c r="Z6" i="18"/>
  <c r="Z12" i="18"/>
  <c r="X3" i="18"/>
  <c r="X4" i="18"/>
  <c r="X5" i="18"/>
  <c r="X6" i="18"/>
  <c r="X8" i="18"/>
  <c r="X9" i="18"/>
  <c r="X10" i="18"/>
  <c r="X11" i="18"/>
  <c r="X12" i="18"/>
  <c r="X13" i="18"/>
  <c r="X2" i="18"/>
  <c r="V3" i="18"/>
  <c r="V4" i="18"/>
  <c r="V5" i="18"/>
  <c r="V6" i="18"/>
  <c r="V7" i="18"/>
  <c r="V8" i="18"/>
  <c r="V9" i="18"/>
  <c r="V10" i="18"/>
  <c r="V11" i="18"/>
  <c r="V12" i="18"/>
  <c r="V13" i="18"/>
  <c r="V14" i="18"/>
  <c r="V2" i="18"/>
  <c r="AB5" i="17"/>
  <c r="AB6" i="17"/>
  <c r="AB9" i="17"/>
  <c r="AB13" i="17"/>
  <c r="Z4" i="17"/>
  <c r="Z5" i="17"/>
  <c r="Z6" i="17"/>
  <c r="Z7" i="17"/>
  <c r="Z8" i="17"/>
  <c r="Z9" i="17"/>
  <c r="Z12" i="17"/>
  <c r="Z13" i="17"/>
  <c r="Z2" i="17"/>
  <c r="X3" i="17"/>
  <c r="X4" i="17"/>
  <c r="X5" i="17"/>
  <c r="X6" i="17"/>
  <c r="X7" i="17"/>
  <c r="X8" i="17"/>
  <c r="X9" i="17"/>
  <c r="X10" i="17"/>
  <c r="X12" i="17"/>
  <c r="X13" i="17"/>
  <c r="X16" i="17"/>
  <c r="X2" i="17"/>
  <c r="V3" i="17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" i="17"/>
  <c r="AB24" i="16"/>
  <c r="AB30" i="16"/>
  <c r="AB31" i="16"/>
  <c r="AB2" i="16"/>
  <c r="AA12" i="16"/>
  <c r="AA13" i="16"/>
  <c r="AA24" i="16"/>
  <c r="AA25" i="16"/>
  <c r="AA26" i="16"/>
  <c r="AA27" i="16"/>
  <c r="AA29" i="16"/>
  <c r="AA30" i="16"/>
  <c r="AA31" i="16"/>
  <c r="AA2" i="16"/>
  <c r="Z8" i="16"/>
  <c r="Z9" i="16"/>
  <c r="Z12" i="16"/>
  <c r="Z13" i="16"/>
  <c r="Z14" i="16"/>
  <c r="Z15" i="16"/>
  <c r="Z16" i="16"/>
  <c r="Z17" i="16"/>
  <c r="Z18" i="16"/>
  <c r="Z19" i="16"/>
  <c r="Z20" i="16"/>
  <c r="Z22" i="16"/>
  <c r="Z24" i="16"/>
  <c r="Z25" i="16"/>
  <c r="Z26" i="16"/>
  <c r="Z27" i="16"/>
  <c r="Z28" i="16"/>
  <c r="Z29" i="16"/>
  <c r="Z30" i="16"/>
  <c r="Z31" i="16"/>
  <c r="Z2" i="16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2" i="16"/>
  <c r="Z9" i="14"/>
  <c r="Z10" i="14"/>
  <c r="Y3" i="14"/>
  <c r="Y4" i="14"/>
  <c r="Y5" i="14"/>
  <c r="Y8" i="14"/>
  <c r="Y9" i="14"/>
  <c r="Y10" i="14"/>
  <c r="Y11" i="14"/>
  <c r="X3" i="14"/>
  <c r="X4" i="14"/>
  <c r="X5" i="14"/>
  <c r="X6" i="14"/>
  <c r="X7" i="14"/>
  <c r="X8" i="14"/>
  <c r="X9" i="14"/>
  <c r="X10" i="14"/>
  <c r="X11" i="14"/>
  <c r="X12" i="14"/>
  <c r="X2" i="14"/>
  <c r="V14" i="15"/>
  <c r="AB13" i="15"/>
  <c r="Z13" i="15"/>
  <c r="X13" i="15"/>
  <c r="V13" i="15"/>
  <c r="Z12" i="15"/>
  <c r="X12" i="15"/>
  <c r="V12" i="15"/>
  <c r="X11" i="15"/>
  <c r="V11" i="15"/>
  <c r="X10" i="15"/>
  <c r="V10" i="15"/>
  <c r="X9" i="15"/>
  <c r="V9" i="15"/>
  <c r="X8" i="15"/>
  <c r="V8" i="15"/>
  <c r="X7" i="15"/>
  <c r="V7" i="15"/>
  <c r="V6" i="15"/>
  <c r="V5" i="15"/>
  <c r="V4" i="15"/>
  <c r="X3" i="15"/>
  <c r="V3" i="15"/>
  <c r="X2" i="15"/>
  <c r="V2" i="15"/>
  <c r="Y15" i="11"/>
  <c r="W15" i="11"/>
  <c r="U15" i="11"/>
  <c r="S15" i="11"/>
  <c r="Q15" i="11"/>
  <c r="Y14" i="11"/>
  <c r="W14" i="11"/>
  <c r="U14" i="11"/>
  <c r="S14" i="11"/>
  <c r="Q14" i="11"/>
  <c r="Y13" i="11"/>
  <c r="W13" i="11"/>
  <c r="U13" i="11"/>
  <c r="S13" i="11"/>
  <c r="Q13" i="11"/>
  <c r="Y12" i="11"/>
  <c r="W12" i="11"/>
  <c r="U12" i="11"/>
  <c r="S12" i="11"/>
  <c r="Q12" i="11"/>
  <c r="Y11" i="11"/>
  <c r="W11" i="11"/>
  <c r="U11" i="11"/>
  <c r="S11" i="11"/>
  <c r="Q11" i="11"/>
  <c r="Y10" i="11"/>
  <c r="W10" i="11"/>
  <c r="U10" i="11"/>
  <c r="S10" i="11"/>
  <c r="Q10" i="11"/>
  <c r="Y9" i="11"/>
  <c r="W9" i="11"/>
  <c r="U9" i="11"/>
  <c r="S9" i="11"/>
  <c r="Q9" i="11"/>
  <c r="Y8" i="11"/>
  <c r="W8" i="11"/>
  <c r="U8" i="11"/>
  <c r="S8" i="11"/>
  <c r="Q8" i="11"/>
  <c r="Y7" i="11"/>
  <c r="W7" i="11"/>
  <c r="U7" i="11"/>
  <c r="S7" i="11"/>
  <c r="Q7" i="11"/>
  <c r="Y6" i="11"/>
  <c r="W6" i="11"/>
  <c r="U6" i="11"/>
  <c r="S6" i="11"/>
  <c r="Q6" i="11"/>
  <c r="Y5" i="11"/>
  <c r="W5" i="11"/>
  <c r="U5" i="11"/>
  <c r="S5" i="11"/>
  <c r="Q5" i="11"/>
  <c r="Y4" i="11"/>
  <c r="W4" i="11"/>
  <c r="U4" i="11"/>
  <c r="S4" i="11"/>
  <c r="Q4" i="11"/>
  <c r="Y3" i="11"/>
  <c r="W3" i="11"/>
  <c r="U3" i="11"/>
  <c r="S3" i="11"/>
  <c r="Q3" i="11"/>
  <c r="Y2" i="11"/>
  <c r="W2" i="11"/>
  <c r="U2" i="11"/>
  <c r="S2" i="11"/>
  <c r="Q2" i="11"/>
  <c r="W10" i="10"/>
  <c r="U10" i="10"/>
  <c r="S10" i="10"/>
  <c r="W9" i="10"/>
  <c r="U9" i="10"/>
  <c r="S9" i="10"/>
  <c r="W8" i="10"/>
  <c r="U8" i="10"/>
  <c r="S8" i="10"/>
  <c r="W7" i="10"/>
  <c r="U7" i="10"/>
  <c r="S7" i="10"/>
  <c r="W6" i="10"/>
  <c r="U6" i="10"/>
  <c r="S6" i="10"/>
  <c r="W5" i="10"/>
  <c r="U5" i="10"/>
  <c r="S5" i="10"/>
  <c r="W4" i="10"/>
  <c r="U4" i="10"/>
  <c r="S4" i="10"/>
  <c r="W3" i="10"/>
  <c r="U3" i="10"/>
  <c r="S3" i="10"/>
  <c r="W2" i="10"/>
  <c r="U2" i="10"/>
  <c r="S2" i="10"/>
  <c r="W13" i="9"/>
  <c r="U13" i="9"/>
  <c r="W12" i="9"/>
  <c r="U12" i="9"/>
  <c r="W11" i="9"/>
  <c r="U11" i="9"/>
  <c r="U10" i="9"/>
  <c r="Y9" i="9"/>
  <c r="W9" i="9"/>
  <c r="U9" i="9"/>
  <c r="AA8" i="9"/>
  <c r="Y8" i="9"/>
  <c r="W8" i="9"/>
  <c r="U8" i="9"/>
  <c r="Y7" i="9"/>
  <c r="W7" i="9"/>
  <c r="U7" i="9"/>
  <c r="AA6" i="9"/>
  <c r="Y6" i="9"/>
  <c r="W6" i="9"/>
  <c r="U6" i="9"/>
  <c r="Y5" i="9"/>
  <c r="W5" i="9"/>
  <c r="U5" i="9"/>
  <c r="AA4" i="9"/>
  <c r="Y4" i="9"/>
  <c r="W4" i="9"/>
  <c r="U4" i="9"/>
  <c r="W3" i="9"/>
  <c r="U3" i="9"/>
  <c r="Y2" i="9"/>
  <c r="W2" i="9"/>
  <c r="U2" i="9"/>
  <c r="AB6" i="8"/>
  <c r="AA6" i="8"/>
  <c r="Z6" i="8"/>
  <c r="Y6" i="8"/>
  <c r="X6" i="8"/>
  <c r="Y5" i="8"/>
  <c r="X5" i="8"/>
  <c r="Y4" i="8"/>
  <c r="X4" i="8"/>
  <c r="AB3" i="8"/>
  <c r="AA3" i="8"/>
  <c r="Z3" i="8"/>
  <c r="Y3" i="8"/>
  <c r="X3" i="8"/>
  <c r="AB2" i="8"/>
  <c r="AA2" i="8"/>
  <c r="Z2" i="8"/>
  <c r="Y2" i="8"/>
  <c r="X2" i="8"/>
  <c r="W13" i="7"/>
  <c r="W12" i="7"/>
  <c r="W11" i="7"/>
  <c r="W10" i="7"/>
  <c r="W9" i="7"/>
  <c r="W8" i="7"/>
  <c r="W7" i="7"/>
  <c r="Y6" i="7"/>
  <c r="X6" i="7"/>
  <c r="W6" i="7"/>
  <c r="Y5" i="7"/>
  <c r="X5" i="7"/>
  <c r="W5" i="7"/>
  <c r="Z4" i="7"/>
  <c r="Y4" i="7"/>
  <c r="X4" i="7"/>
  <c r="W4" i="7"/>
  <c r="W3" i="7"/>
  <c r="Y2" i="7"/>
  <c r="X2" i="7"/>
  <c r="W2" i="7"/>
  <c r="W11" i="5"/>
  <c r="AB10" i="5"/>
  <c r="X10" i="5"/>
  <c r="W10" i="5"/>
  <c r="X9" i="5"/>
  <c r="W9" i="5"/>
  <c r="W8" i="5"/>
  <c r="W7" i="5"/>
  <c r="W6" i="5"/>
  <c r="W5" i="5"/>
  <c r="AF4" i="5"/>
  <c r="AD4" i="5"/>
  <c r="AB4" i="5"/>
  <c r="X4" i="5"/>
  <c r="W4" i="5"/>
  <c r="AB3" i="5"/>
  <c r="X3" i="5"/>
  <c r="W3" i="5"/>
  <c r="AB2" i="5"/>
  <c r="X2" i="5"/>
  <c r="W2" i="5"/>
  <c r="Z7" i="4"/>
  <c r="X7" i="4"/>
  <c r="V7" i="4"/>
  <c r="V6" i="4"/>
  <c r="V5" i="4"/>
  <c r="V4" i="4"/>
  <c r="X3" i="4"/>
  <c r="V3" i="4"/>
  <c r="Z2" i="4"/>
  <c r="X2" i="4"/>
  <c r="V2" i="4"/>
  <c r="X41" i="3"/>
  <c r="Z40" i="3"/>
  <c r="Y40" i="3"/>
  <c r="X40" i="3"/>
  <c r="Z39" i="3"/>
  <c r="Y39" i="3"/>
  <c r="X39" i="3"/>
  <c r="Z38" i="3"/>
  <c r="Y38" i="3"/>
  <c r="X38" i="3"/>
  <c r="Z37" i="3"/>
  <c r="Y37" i="3"/>
  <c r="X37" i="3"/>
  <c r="Z36" i="3"/>
  <c r="Y36" i="3"/>
  <c r="X36" i="3"/>
  <c r="Z35" i="3"/>
  <c r="Y35" i="3"/>
  <c r="X35" i="3"/>
  <c r="Z34" i="3"/>
  <c r="Y34" i="3"/>
  <c r="X34" i="3"/>
  <c r="Z33" i="3"/>
  <c r="Y33" i="3"/>
  <c r="X33" i="3"/>
  <c r="Z32" i="3"/>
  <c r="Y32" i="3"/>
  <c r="X32" i="3"/>
  <c r="Z31" i="3"/>
  <c r="Y31" i="3"/>
  <c r="X31" i="3"/>
  <c r="Z30" i="3"/>
  <c r="Y30" i="3"/>
  <c r="X30" i="3"/>
  <c r="Z29" i="3"/>
  <c r="Y29" i="3"/>
  <c r="X29" i="3"/>
  <c r="Z28" i="3"/>
  <c r="Y28" i="3"/>
  <c r="X28" i="3"/>
  <c r="Z27" i="3"/>
  <c r="Y27" i="3"/>
  <c r="X27" i="3"/>
  <c r="Z26" i="3"/>
  <c r="Y26" i="3"/>
  <c r="X26" i="3"/>
  <c r="Z25" i="3"/>
  <c r="Y25" i="3"/>
  <c r="X25" i="3"/>
  <c r="Z24" i="3"/>
  <c r="Y24" i="3"/>
  <c r="X24" i="3"/>
  <c r="Z23" i="3"/>
  <c r="Y23" i="3"/>
  <c r="X23" i="3"/>
  <c r="Z22" i="3"/>
  <c r="Y22" i="3"/>
  <c r="X22" i="3"/>
  <c r="Z21" i="3"/>
  <c r="Y21" i="3"/>
  <c r="X21" i="3"/>
  <c r="Z20" i="3"/>
  <c r="Y20" i="3"/>
  <c r="X20" i="3"/>
  <c r="Z19" i="3"/>
  <c r="Y19" i="3"/>
  <c r="X19" i="3"/>
  <c r="Z18" i="3"/>
  <c r="Y18" i="3"/>
  <c r="X18" i="3"/>
  <c r="Z17" i="3"/>
  <c r="Y17" i="3"/>
  <c r="X17" i="3"/>
  <c r="Z16" i="3"/>
  <c r="Y16" i="3"/>
  <c r="X16" i="3"/>
  <c r="Z15" i="3"/>
  <c r="Y15" i="3"/>
  <c r="X15" i="3"/>
  <c r="Z14" i="3"/>
  <c r="Y14" i="3"/>
  <c r="X14" i="3"/>
  <c r="X13" i="3"/>
  <c r="Y12" i="3"/>
  <c r="X12" i="3"/>
  <c r="Z11" i="3"/>
  <c r="Y11" i="3"/>
  <c r="X11" i="3"/>
  <c r="Y10" i="3"/>
  <c r="X10" i="3"/>
  <c r="Y9" i="3"/>
  <c r="X9" i="3"/>
  <c r="X8" i="3"/>
  <c r="X7" i="3"/>
  <c r="X6" i="3"/>
  <c r="Y5" i="3"/>
  <c r="X5" i="3"/>
  <c r="Y4" i="3"/>
  <c r="X4" i="3"/>
  <c r="Y3" i="3"/>
  <c r="X3" i="3"/>
  <c r="Y2" i="3"/>
  <c r="X2" i="3"/>
</calcChain>
</file>

<file path=xl/sharedStrings.xml><?xml version="1.0" encoding="utf-8"?>
<sst xmlns="http://schemas.openxmlformats.org/spreadsheetml/2006/main" count="3848" uniqueCount="1262">
  <si>
    <t>InitiativeID</t>
  </si>
  <si>
    <t>InitiativeOwner</t>
  </si>
  <si>
    <t>ContractCat</t>
  </si>
  <si>
    <t>ContractID</t>
  </si>
  <si>
    <t>InitiativeDesc</t>
  </si>
  <si>
    <t>InitiativeCat</t>
  </si>
  <si>
    <t>CS_method</t>
  </si>
  <si>
    <t>CS_GPO_Tier</t>
  </si>
  <si>
    <t>CS_contract_start_date</t>
  </si>
  <si>
    <t>CS_contract_expire_date</t>
  </si>
  <si>
    <t>CS_baseline</t>
  </si>
  <si>
    <t>CS_expect_saving</t>
  </si>
  <si>
    <t>CS_actual_saving</t>
  </si>
  <si>
    <t>CS_fixcostflag</t>
  </si>
  <si>
    <t>CS_alloc_MMC</t>
  </si>
  <si>
    <t>CS_alloc_MMVO</t>
  </si>
  <si>
    <t>CS_alloc_MSSO</t>
  </si>
  <si>
    <t>CS_alloc_NYACK</t>
  </si>
  <si>
    <t>CS_alloc_WPH</t>
  </si>
  <si>
    <t>CS_alloc_MSLC</t>
  </si>
  <si>
    <t>CS_alloc_BURKE</t>
  </si>
  <si>
    <t>CS_alloc_AECOM</t>
  </si>
  <si>
    <t>rb_method</t>
  </si>
  <si>
    <t>rb_Vendor_ID</t>
  </si>
  <si>
    <t>rb_CheckNumber</t>
  </si>
  <si>
    <t>rb_RebateEffectiveDate</t>
  </si>
  <si>
    <t>rb_RebateEndDate</t>
  </si>
  <si>
    <t>rb_RebateAmount</t>
  </si>
  <si>
    <t>rb_alloc_MMC</t>
  </si>
  <si>
    <t>rb_alloc_MMVO</t>
  </si>
  <si>
    <t>rb_alloc_MSSO</t>
  </si>
  <si>
    <t>rb_alloc_NYACK</t>
  </si>
  <si>
    <t>rb_alloc_WPH</t>
  </si>
  <si>
    <t>rb_alloc_MSLC</t>
  </si>
  <si>
    <t>rb_alloc_BURKE</t>
  </si>
  <si>
    <t>rb_alloc_AECOM</t>
  </si>
  <si>
    <t>ur_SubjectType</t>
  </si>
  <si>
    <t>ur_VendorID</t>
  </si>
  <si>
    <t>ur_MaterialID</t>
  </si>
  <si>
    <t>ur_PriceEffectiveDate</t>
  </si>
  <si>
    <t>ur_PriceEndDate</t>
  </si>
  <si>
    <t>ur_UtilizationBaseLine</t>
  </si>
  <si>
    <t>ur_UnitCost</t>
  </si>
  <si>
    <t>ur_ExpectedUtilization</t>
  </si>
  <si>
    <t>ur_CalculatedExpectedSavings</t>
  </si>
  <si>
    <t>attach_ParentalDir</t>
  </si>
  <si>
    <t>attach_FileCount</t>
  </si>
  <si>
    <t>attach_ListOfFileNames</t>
  </si>
  <si>
    <t>Timestamp</t>
  </si>
  <si>
    <t>ReviewedFlag</t>
  </si>
  <si>
    <t>ReviewResult</t>
  </si>
  <si>
    <t>ReviewComments</t>
  </si>
  <si>
    <t>ActiveFlag</t>
  </si>
  <si>
    <t>VendorName</t>
  </si>
  <si>
    <t>ContractSource</t>
  </si>
  <si>
    <t>Created_By</t>
  </si>
  <si>
    <t>InitiativeOwner_ID</t>
  </si>
  <si>
    <t>Patrick Rooney</t>
  </si>
  <si>
    <t>Cardiology</t>
  </si>
  <si>
    <t>L0000000000082</t>
  </si>
  <si>
    <t>Rebate for Pascal devices
This initial Q4-2023 rebate period was pro-rated from 11/16/2023 to 12/31/23 so rebate qualifications were also pro-rated.</t>
  </si>
  <si>
    <t>Rebate</t>
  </si>
  <si>
    <t>//</t>
  </si>
  <si>
    <t>NULL</t>
  </si>
  <si>
    <t>Standard</t>
  </si>
  <si>
    <t>seafarrell</t>
  </si>
  <si>
    <t>Approved</t>
  </si>
  <si>
    <t>Edwards Lifesciences</t>
  </si>
  <si>
    <t>Local</t>
  </si>
  <si>
    <t>PROONEY</t>
  </si>
  <si>
    <t>1000114</t>
  </si>
  <si>
    <t>TAVR Rebate</t>
  </si>
  <si>
    <t>Jordyn Koplik</t>
  </si>
  <si>
    <t>Administrative And Related Services</t>
  </si>
  <si>
    <t>TBD</t>
  </si>
  <si>
    <t>Bank of America- quarterly Paymode-X Connect rebate for 09-01-2023 - 11-30-2023</t>
  </si>
  <si>
    <t>Volume</t>
  </si>
  <si>
    <t>Other</t>
  </si>
  <si>
    <t>jkoplik</t>
  </si>
  <si>
    <t>Lebo Pila</t>
  </si>
  <si>
    <t>Perioperative And Related Products</t>
  </si>
  <si>
    <t>L0000000000142</t>
  </si>
  <si>
    <t xml:space="preserve">Heartmate3, 2% growth rebate on &gt;8 pumps. </t>
  </si>
  <si>
    <t>St. Jude Medical</t>
  </si>
  <si>
    <t>lpila</t>
  </si>
  <si>
    <t>Medtronic CRM Contract</t>
  </si>
  <si>
    <t>Medtronic CRM Quarterly Rebate</t>
  </si>
  <si>
    <t>Medtronic Cardiac Rhythm Disease Management</t>
  </si>
  <si>
    <t>MedSurgical</t>
  </si>
  <si>
    <t>1000099</t>
  </si>
  <si>
    <t>Medline-Brand Corporate Rebate for Q4-2023</t>
  </si>
  <si>
    <t>Medline</t>
  </si>
  <si>
    <t xml:space="preserve"> L0000000000114</t>
  </si>
  <si>
    <t>Medtronic TAVR Rebate for 10/26/2023 Bulk PO</t>
  </si>
  <si>
    <t>Medtronic</t>
  </si>
  <si>
    <t>L0000000000115</t>
  </si>
  <si>
    <t>TAVR Rebate from July2023 - Sept2023</t>
  </si>
  <si>
    <t>Medtronic USA</t>
  </si>
  <si>
    <t>Kerry Ost</t>
  </si>
  <si>
    <t>S-USFOODS-01AUG20</t>
  </si>
  <si>
    <t>REBATE DPI</t>
  </si>
  <si>
    <t>US Foods</t>
  </si>
  <si>
    <t>GPO</t>
  </si>
  <si>
    <t>kost1</t>
  </si>
  <si>
    <t>DP SALES ADJ Customer REBATE</t>
  </si>
  <si>
    <t xml:space="preserve"> L-BIOTRONIK-CRM-1-MAY-22</t>
  </si>
  <si>
    <t>Biotronik CRM Rebate for Q1-2024 time-frame</t>
  </si>
  <si>
    <t xml:space="preserve">Please add copy of check/ACH and proof of receipt </t>
  </si>
  <si>
    <t>Biotronik</t>
  </si>
  <si>
    <t xml:space="preserve"> L0000000000112</t>
  </si>
  <si>
    <t>Medtronic DES Rebate for 10-1-2023 to 12-31-2023 period</t>
  </si>
  <si>
    <t>Edwards TAVR Rebate for Jan2024-March2024 time-period</t>
  </si>
  <si>
    <t>1000108</t>
  </si>
  <si>
    <t>Biosense Webster Ultrasound Catheter Buyback Program- EP receives a $100 rebate for every ultrasound catheter that is placed in a Sterilmed collection bin.
This contract was signed on 11/20/2023 so this rebate is for a pro-rated Q4-2023 period of 11/20/23 through 12/31/23.</t>
  </si>
  <si>
    <t>Biosense Webster Inc</t>
  </si>
  <si>
    <t>Initiative_Desc</t>
  </si>
  <si>
    <t>Rebates_Type</t>
  </si>
  <si>
    <t>Contract_Number</t>
  </si>
  <si>
    <t>Contract_Category</t>
  </si>
  <si>
    <t>Contract_Source</t>
  </si>
  <si>
    <t>Vendor_Name</t>
  </si>
  <si>
    <t>Rebate_Check_Date</t>
  </si>
  <si>
    <t>Rebate_Payment_Type</t>
  </si>
  <si>
    <t>Check_Number</t>
  </si>
  <si>
    <t>Rebate_amount</t>
  </si>
  <si>
    <t>MMC_ALLOC</t>
  </si>
  <si>
    <t>BURKE_ALLOC</t>
  </si>
  <si>
    <t>AECOM_ALLOC</t>
  </si>
  <si>
    <t>MMVO_ALLOC</t>
  </si>
  <si>
    <t>MSSO_ALLOC</t>
  </si>
  <si>
    <t>NYACK_ALLOC</t>
  </si>
  <si>
    <t>SLCH_ALLOC</t>
  </si>
  <si>
    <t>WPH_ALLOC</t>
  </si>
  <si>
    <t>FILE_NAME</t>
  </si>
  <si>
    <t xml:space="preserve">Premier pharmaceutical contracts with rebated products purchased. </t>
  </si>
  <si>
    <t>S-ACURITY-GYNHA-01JAN19</t>
  </si>
  <si>
    <t>Pharmacy</t>
  </si>
  <si>
    <t>Acurity (fka GYNHA)</t>
  </si>
  <si>
    <t>N/A</t>
  </si>
  <si>
    <t>88002034_20240612181746_S-ACURITY-GYNHA-01JAN19 - rebate - Jan- May 2024.xlsx</t>
  </si>
  <si>
    <t>88002034_20240716091310_1 Q24 Premier - Montefiore Pharmacy Rebates 1Q24.xlsx</t>
  </si>
  <si>
    <t>88002034_20240716091310_Premier Pharmacy Rebates process email.pdf</t>
  </si>
  <si>
    <t>Premier Food Service Rebate for products purchased Jan - March 2024</t>
  </si>
  <si>
    <t>88002038_20240618090440_Premier rebates file-  6.5.2024_FoodService.xlsx</t>
  </si>
  <si>
    <t>FoodServiceRebateInfo_20240807143558.docx</t>
  </si>
  <si>
    <t xml:space="preserve">Premier MedSurg contracts with rebated products purchased </t>
  </si>
  <si>
    <t>88002040_20240618104508_Med Surg_Premier rebates file_ 6.5.2024.xlsx</t>
  </si>
  <si>
    <t>Deirdre Archie email 2024-08-22_20240828122037.png</t>
  </si>
  <si>
    <t>MedSurg Rebate Detail Report _June2024_20240807103122.xlsx</t>
  </si>
  <si>
    <t>MedSurg Rebate Detail Report _June2024revised_20240828122037.xlsx</t>
  </si>
  <si>
    <t>Growth and loyalty rebate</t>
  </si>
  <si>
    <t>L0000000000011</t>
  </si>
  <si>
    <t>Terumo Medical Corporation</t>
  </si>
  <si>
    <t>Check</t>
  </si>
  <si>
    <t>1126206</t>
  </si>
  <si>
    <t>88002043_20240723155610_Terumo Rebate 7.2.24.pdf</t>
  </si>
  <si>
    <t>Terumo Rebate Analysis 7.24.24_20240724140010.xlsm</t>
  </si>
  <si>
    <t>Terumo Rebate Info 7.24.24_20240724140010.pdf</t>
  </si>
  <si>
    <t>Medtronic CRM LINQ loop recorder rebate. This was given as credit, not check.</t>
  </si>
  <si>
    <t>L-MEDTRONIC-CRM-5-MAY-22</t>
  </si>
  <si>
    <t>1800102787</t>
  </si>
  <si>
    <t>Montefiore Health System_CDS_19479_104977_1.27.24_4.26.24_ZDMF_555104.xlsx</t>
  </si>
  <si>
    <t>Nyack Credit_1800102787_2024_07_19.pdf</t>
  </si>
  <si>
    <t>St. Lukes Credit_1800102787_2024_07_19.pdf</t>
  </si>
  <si>
    <t>WP Credit_1800102787_2024_07_19 (003).pdf</t>
  </si>
  <si>
    <t>Pascal rebate earned at $2400 per unit of PAS2MA purchased. Earned as credit. Timeframe: Jan24-Mar24.</t>
  </si>
  <si>
    <t>1262818</t>
  </si>
  <si>
    <t>Analysis Montefiore PAS2MA Rebate January 1 - March 31 2024.xlsx</t>
  </si>
  <si>
    <t>Montefiore Health Rebate Achievement Letter Jan - March 2024.pdf</t>
  </si>
  <si>
    <t>Montefiore Med Ctr Credit Memo Jan - March 2024.pdf</t>
  </si>
  <si>
    <t>WATCHMAN Rebate #1 is earned if at least 32 FLX Pro Procedure Pricing Bundles are purchased. Rebate is given as credit for $2000/PPB. Analysis is included on the 2nd page of each credit memo document which combine multiple credit memo numbers that I cannot fit into the "check number" field so I will list them here and will only list the first one in that field: 0700187748, 0700254872, 0700254884, 0700187750, 0700254876, 0700254887, 0700187746, 0700254873, 0700187749, 0700254874.</t>
  </si>
  <si>
    <t>1000010</t>
  </si>
  <si>
    <t>Boston Scientific</t>
  </si>
  <si>
    <t>0700187748</t>
  </si>
  <si>
    <t>19239_Montefiore Medical Center_WM_Rebate Notification_Credit Memo_2024_03.pdf</t>
  </si>
  <si>
    <t>25871_White Plains Hospital Center_WM_Rebate Notification_Credit Memo_2024_03.pdf</t>
  </si>
  <si>
    <t>Paper Copy Credit Memo_20240807155346.pdf</t>
  </si>
  <si>
    <t>Watchman Rebate Contract Information 8_7_24.pdf</t>
  </si>
  <si>
    <t>WATCHMAN Rebate #2 is earned if there is at least $900k in spend. Rebate is earned as a credit memo for $2000/PPB. Analysis is on the last page of the credit memo document. Vendor combined multiple credit memos into 1 and I cannot list all of them in the check number field below so I am listing them here and just inputting the first one in the check number field. 0700874761, 0700874783, 0700874759, 0700874782.</t>
  </si>
  <si>
    <t>0700874761</t>
  </si>
  <si>
    <t>90231_Montefiore Health System_WM_Rebate Notification_Credit Memo_2024_06 (002).pdf</t>
  </si>
  <si>
    <t>Montefiore Hard Copies_20240807160121.pdf</t>
  </si>
  <si>
    <t xml:space="preserve">Premier pharmaceutical contracts with rebated products purchased._x000D_
Attached files with 2 tabs - detail back up and EFT numbers with amounts and dates_x000D_
</t>
  </si>
  <si>
    <t>S-Acurity-GYNHA-01Jan19</t>
  </si>
  <si>
    <t>EFT</t>
  </si>
  <si>
    <t>2 Q24 Premier- Montefiore Pharmacy Rebates .xlsx</t>
  </si>
  <si>
    <t>Rebate earned on each purchase of commercial transcatheter heart valve products. Rebate earned as a credit memo. Analysis included on page 2 of the credit memo rebate document.</t>
  </si>
  <si>
    <t>1271588</t>
  </si>
  <si>
    <t>MONTEFIORE MEDICAL CENTER - MOSES DIVISI_Q2_2024_Quarterly Achieved Rebate with Credit Memo.pdf</t>
  </si>
  <si>
    <t>Rebate Information Amendment 8.27.24.pdf</t>
  </si>
  <si>
    <t>Medline Brand Corporate Rebate Q1 2024</t>
  </si>
  <si>
    <t>14668467</t>
  </si>
  <si>
    <t>Medline Montefiore 1Q24 rebate detail.xlsx</t>
  </si>
  <si>
    <t>Medline Payment Advice 08132024 - Acc 2069398.pdf</t>
  </si>
  <si>
    <t>J&amp;J Immunology contract rebate participation from 4.1.2017 to 9.30.2024.</t>
  </si>
  <si>
    <t>J&amp;J Health System agreement 23B</t>
  </si>
  <si>
    <t>Johnson and Johnson Health Care System Inc</t>
  </si>
  <si>
    <t>2000463432</t>
  </si>
  <si>
    <t>23B_PharmOverlay_IMD_MONTEFIORE HEALTH SYSTEM INC_OCT23-MAR24.xlsm</t>
  </si>
  <si>
    <t>Check image - J&amp;J - 2024-08-13.pdf</t>
  </si>
  <si>
    <t>Parent</t>
  </si>
  <si>
    <t>FILE_NAME_1</t>
  </si>
  <si>
    <t>FILE_NAME_2</t>
  </si>
  <si>
    <t>FILE_NAME_3</t>
  </si>
  <si>
    <t>FILE_PATH_1</t>
  </si>
  <si>
    <t>FILE_PATH_2</t>
  </si>
  <si>
    <t>FILE_PATH_3</t>
  </si>
  <si>
    <t>J&amp;J Immunology contract rebate participation</t>
  </si>
  <si>
    <t>J&amp;J Health System agreement 24A</t>
  </si>
  <si>
    <t>2025-01-30</t>
  </si>
  <si>
    <t>2000476754</t>
  </si>
  <si>
    <t>Rebate_Attachments\</t>
  </si>
  <si>
    <t>24A PharmOverlay IMD MONTEFIORE HEALTH SYSTEM INC APR24-SEP24.xlsm</t>
  </si>
  <si>
    <t>Johnson - Johnson check - 24A 1.30.2025.pdf</t>
  </si>
  <si>
    <t>BD General Urology Rebate for Oct2023-Sept2024 period
Rebate in the amount of $353,009.37 paid by ACH on 2/24/2025.</t>
  </si>
  <si>
    <t>1000024</t>
  </si>
  <si>
    <t>BD - US (Becton Dickinson)</t>
  </si>
  <si>
    <t>2025-02-24</t>
  </si>
  <si>
    <t>ACH</t>
  </si>
  <si>
    <t>ACH Doc#1700572376, ACH Payment Date: 2/24/25</t>
  </si>
  <si>
    <t>BD General Urology ACH Payment Confirmation 02-24-2025.pdf</t>
  </si>
  <si>
    <t>BD General Urology Rebate Oct23-Sep24xlsx.xlsx</t>
  </si>
  <si>
    <t>BD Rebate on Standard hypodermics/Safety hypodermics/flush syringes.</t>
  </si>
  <si>
    <t>1000026</t>
  </si>
  <si>
    <t>2025-03-19</t>
  </si>
  <si>
    <t>ACH Doc # 1700575356, ACH Pymt Date: 3/19/25</t>
  </si>
  <si>
    <t>BD Hypodermic and Flush Rebate ACH Payment Confirmation 03-19-2025.pdf</t>
  </si>
  <si>
    <t>BD Hypodermic-Flush Rebate Oct2023-Sept2024.xlsx</t>
  </si>
  <si>
    <t>BD Strategic Collaboration Agreement (SCA) for Jan2024-June2024 period</t>
  </si>
  <si>
    <t xml:space="preserve"> L0000000000003</t>
  </si>
  <si>
    <t>Becton Dickinson</t>
  </si>
  <si>
    <t>2024-07-26</t>
  </si>
  <si>
    <t>ACC# 1700546195, ACH Payment Date: 7/26/2024</t>
  </si>
  <si>
    <t>BD SCA Jan2024-Jun2024 Rebate.xlsx</t>
  </si>
  <si>
    <t>BD SCA Rebate Jan2024-June2024 ACH Confirmation 7-26-2024.pdf</t>
  </si>
  <si>
    <t>Premier Foodservice CMA rebates.</t>
  </si>
  <si>
    <t>Services</t>
  </si>
  <si>
    <t>2025-03-26</t>
  </si>
  <si>
    <t>n/a</t>
  </si>
  <si>
    <t>_HHUTCHIN@montefiore.org_Food Services.pdf</t>
  </si>
  <si>
    <t>J.P. Morgan Chase rebate February 2024 - January 2025.</t>
  </si>
  <si>
    <t xml:space="preserve">J.P. Morgan - Chase </t>
  </si>
  <si>
    <t>AdministrativeAndRelatedServices</t>
  </si>
  <si>
    <t>J.P. Morgan Chase</t>
  </si>
  <si>
    <t>2025-04-02</t>
  </si>
  <si>
    <t>14223</t>
  </si>
  <si>
    <t>14223-Montefiore-REBATE-Quarterly-Jan-2025.pdf</t>
  </si>
  <si>
    <t>IDN growth rebate</t>
  </si>
  <si>
    <t>1001354</t>
  </si>
  <si>
    <t>Pfizer</t>
  </si>
  <si>
    <t>2025-03-27</t>
  </si>
  <si>
    <t>C25824</t>
  </si>
  <si>
    <t>Pfizer CY 2024 rebate.xlsx</t>
  </si>
  <si>
    <t>Biosense Webster will provide $100 per catheter provided to them for reprocessing every quarter.</t>
  </si>
  <si>
    <t>2025-03-11</t>
  </si>
  <si>
    <t>5103524908</t>
  </si>
  <si>
    <t>Biosense Webster Buyback ACH Payment Confirmation 4.9.25.pdf</t>
  </si>
  <si>
    <t>BWI Buyback Montefiore Medical Center 4Q24_CUST.xlsx</t>
  </si>
  <si>
    <t>Vendor rebates MHS for the platinum from recycled catheters based off weight of the platinum.</t>
  </si>
  <si>
    <t>1000892</t>
  </si>
  <si>
    <t>2025-03-05</t>
  </si>
  <si>
    <t>5103513360</t>
  </si>
  <si>
    <t>Biosense Webster EP Platinum Tip Rebate ACH 4.9.25.pdf</t>
  </si>
  <si>
    <t>BW EP Tip Rebate Breakdown 4.9.25.xlsx</t>
  </si>
  <si>
    <t>If at least 22 units are purchased, Medtronic will rebate $2000 per CBV valve purchased.</t>
  </si>
  <si>
    <t>2025-04-04</t>
  </si>
  <si>
    <t>Credit Memo</t>
  </si>
  <si>
    <t>1800124133</t>
  </si>
  <si>
    <t>Medtronic MMC Structural Heart Credit Memo 4.9.25_20250409164638.pdf</t>
  </si>
  <si>
    <t>Medtronic Structural Heart Rebate Breakdown 4.9.25.xlsx</t>
  </si>
  <si>
    <t>Medtronic Structural Heart WPH Rebate 4.9.25.pdf</t>
  </si>
  <si>
    <t>If $172,500 is spent in this category by the end of the rebate period, $5000 rebate is earned.</t>
  </si>
  <si>
    <t>2025-03-10</t>
  </si>
  <si>
    <t>1800124891</t>
  </si>
  <si>
    <t>Medtronic Structural Heaert Bulk Evolut Rebate Breakdown 4.9.25.xlsx</t>
  </si>
  <si>
    <t>Medtronic Structural Heart Bulk Rebate 4.9.25.pdf</t>
  </si>
  <si>
    <t>Premier cash Disbursement - Fee Share</t>
  </si>
  <si>
    <t>2025-03-31</t>
  </si>
  <si>
    <t>Fee payment of $1,931,893.94 for Oct-Dec 2024</t>
  </si>
  <si>
    <t>Copy of MONTEFIORE MEDICINE ACADEMIC HEALTH SYSTEM INC. 759714 - 4Q2024 - FINAL.xlsx</t>
  </si>
  <si>
    <t>Running RFP to compare and standardize rates. Consolidate vendors under dual primary vendor strategy. Provide an automated platform for contingency workforce management. Stabilization of YoY rate increases.</t>
  </si>
  <si>
    <t>1000138</t>
  </si>
  <si>
    <t>Staffing</t>
  </si>
  <si>
    <t>WINSTON SUPPORT SERVICES, LLC.</t>
  </si>
  <si>
    <t>2024-04-14</t>
  </si>
  <si>
    <t>20240414 (Invoice Number)</t>
  </si>
  <si>
    <t>Montefiore 04-14-24.xls</t>
  </si>
  <si>
    <t>Supplemental Staffing Realized Savings 4.16.25.xlsx</t>
  </si>
  <si>
    <t>Winston Contract.pdf</t>
  </si>
  <si>
    <t>2024-07-14</t>
  </si>
  <si>
    <t>20240714 (Invoice Number)</t>
  </si>
  <si>
    <t>Montefiore 07-14-24.xls</t>
  </si>
  <si>
    <t>2024-10-06</t>
  </si>
  <si>
    <t>20241006 (Invoice Number)</t>
  </si>
  <si>
    <t>Montefiore 10-06-24.xls</t>
  </si>
  <si>
    <t>2025-01-12</t>
  </si>
  <si>
    <t>20250112 (Invoice Number)</t>
  </si>
  <si>
    <t>Montefiore 01-12-25.xls</t>
  </si>
  <si>
    <t>1000139</t>
  </si>
  <si>
    <t>FASTAFF LLC</t>
  </si>
  <si>
    <t>2024-07-11</t>
  </si>
  <si>
    <t>65431</t>
  </si>
  <si>
    <t>Fastaff MHS Agreement - Nursing.pdf</t>
  </si>
  <si>
    <t>Find Payments Monte Checks 24-25.xlsx</t>
  </si>
  <si>
    <t>2024-07-18</t>
  </si>
  <si>
    <t>65610</t>
  </si>
  <si>
    <t>2024-11-01</t>
  </si>
  <si>
    <t>66084</t>
  </si>
  <si>
    <t>2025-01-17</t>
  </si>
  <si>
    <t>66152</t>
  </si>
  <si>
    <t>2025-04-11</t>
  </si>
  <si>
    <t>66303</t>
  </si>
  <si>
    <t>2024-05-09</t>
  </si>
  <si>
    <t>65194</t>
  </si>
  <si>
    <t>65611</t>
  </si>
  <si>
    <t>2024-12-20</t>
  </si>
  <si>
    <t>66134</t>
  </si>
  <si>
    <t>66153</t>
  </si>
  <si>
    <t>66304</t>
  </si>
  <si>
    <t>65195</t>
  </si>
  <si>
    <t>65612</t>
  </si>
  <si>
    <t>66135</t>
  </si>
  <si>
    <t>66154</t>
  </si>
  <si>
    <t>66305</t>
  </si>
  <si>
    <t>65432</t>
  </si>
  <si>
    <t>65613</t>
  </si>
  <si>
    <t>66087</t>
  </si>
  <si>
    <t>66155</t>
  </si>
  <si>
    <t>66306</t>
  </si>
  <si>
    <t>65196</t>
  </si>
  <si>
    <t>65614</t>
  </si>
  <si>
    <t>66136</t>
  </si>
  <si>
    <t>U.S. Foods Rebate 12/31/23-6/9/2024</t>
  </si>
  <si>
    <t>2024-09-30</t>
  </si>
  <si>
    <t>Check #9480958</t>
  </si>
  <si>
    <t>U.S.Foods rebate.pdf</t>
  </si>
  <si>
    <t>ParentFolder</t>
  </si>
  <si>
    <t>Column1</t>
  </si>
  <si>
    <t>FILE_NAME_12</t>
  </si>
  <si>
    <t>Column2</t>
  </si>
  <si>
    <t>If at least 30 Evolut Valves are purchased, tier 3 rebate is achieved in which $5k per Evolut FX+ Valve is rebated and $3k per Evolut CX Valve is rebated.</t>
  </si>
  <si>
    <t>2025-02-07</t>
  </si>
  <si>
    <t>1800015748</t>
  </si>
  <si>
    <t>Rebate_Attachments\Medtronic MHS Structural Heart Credit Memo 2.18.25.pdf</t>
  </si>
  <si>
    <t>Rebate_Attachments\Medtronic WPH Structural Heart Credit Memo 2.18.25.pdf</t>
  </si>
  <si>
    <t>Rebate_Attachments\MHS Medtronic Structural Heart Rebaet Breakdown 2.18.25.xlsx</t>
  </si>
  <si>
    <t>If over 50-64 units are purchased, MHS is rebated $2,500 for each unit.</t>
  </si>
  <si>
    <t>2025-02-10</t>
  </si>
  <si>
    <t>1285798</t>
  </si>
  <si>
    <t>Rebate_Attachments\Edwards TAVR Rebate INFO 3.5.25.pdf</t>
  </si>
  <si>
    <t>Rebate_Attachments\White Plains Edwards TAVR Rebate 3.5.25.pdf</t>
  </si>
  <si>
    <t>Generic source compliance</t>
  </si>
  <si>
    <t>Generic Drug</t>
  </si>
  <si>
    <t>M-PP-PW18CES01-11MAY18</t>
  </si>
  <si>
    <t>Cardinal Pharmaceuticals</t>
  </si>
  <si>
    <t>2024-01-28</t>
  </si>
  <si>
    <t>2000163009</t>
  </si>
  <si>
    <t>Rebate_Attachments\Saving tracker - Q4 2024- source rebate.xlsx</t>
  </si>
  <si>
    <t>Annual volume rebate</t>
  </si>
  <si>
    <t>2025-01-29</t>
  </si>
  <si>
    <t>2000164229</t>
  </si>
  <si>
    <t>Rebate_Attachments\Saving tracker - Q4 2024- annual volume rebate.xlsx</t>
  </si>
  <si>
    <t xml:space="preserve">Specialty Drug Rebate </t>
  </si>
  <si>
    <t>2025-01-21</t>
  </si>
  <si>
    <t>multiples</t>
  </si>
  <si>
    <t>Rebate_Attachments\Saving tracker - Q4 2024- SPD - credit memo by site.xlsx</t>
  </si>
  <si>
    <t>2024-12-31</t>
  </si>
  <si>
    <t>500618</t>
  </si>
  <si>
    <t>Rebate_Attachments\Edwards MMC TAVR ACH Payment 3.11.25.PNG</t>
  </si>
  <si>
    <t>Rebate_Attachments\MMC Edwards TAVR Rebate 3.5.25.pdf</t>
  </si>
  <si>
    <t>Parent Folder</t>
  </si>
  <si>
    <t>FILE_PATH_12</t>
  </si>
  <si>
    <t>FILE_PATH_32</t>
  </si>
  <si>
    <t>FILE_PATH_4</t>
  </si>
  <si>
    <t>FILE_NAME_4</t>
  </si>
  <si>
    <t>FILE_PATH_5</t>
  </si>
  <si>
    <t>FILE_NAME_5</t>
  </si>
  <si>
    <t>Biosense Webster will pay $100 for each EP product collected.</t>
  </si>
  <si>
    <t>2024-11-08</t>
  </si>
  <si>
    <t>5103450131</t>
  </si>
  <si>
    <t>BW Collection ACH Payment Confirmation 1.8.25.pdf</t>
  </si>
  <si>
    <t>Rebate_Attachments\BW Collection ACH Payment Confirmation 1.8.25.pdf</t>
  </si>
  <si>
    <t>Rebate_Attachments\MontefioreHealthSys_10500_1018600_BWI_BUYBACK_IDN_24090208_9-26-2024_Executed .pdf</t>
  </si>
  <si>
    <t>MontefioreHealthSys_10500_1018600_BWI_BUYBACK_IDN_24090208_9-26-2024_Executed .pdf</t>
  </si>
  <si>
    <t>Rebate_Attachments\Rebate Analysis BWI Buyback Montefiore Medical Center 3Q24_CUST.xlsx</t>
  </si>
  <si>
    <t>Rebate Analysis BWI Buyback Montefiore Medical Center 3Q24_CUST.xlsx</t>
  </si>
  <si>
    <t>Biosense will make rebate payments for the platinum contained in catheters which are rejected for functionality during reprocessing and subsequently recycled.</t>
  </si>
  <si>
    <t>Specialty Drug</t>
  </si>
  <si>
    <t>2024-12-05</t>
  </si>
  <si>
    <t>5103462586</t>
  </si>
  <si>
    <t>Biosense Webster EP Platinum Tip Recycling Program Agmt 1.31.24.pdf</t>
  </si>
  <si>
    <t>Rebate_Attachments\Biosense Webster EP Platinum Tip Recycling Program Agmt 1.31.24.pdf</t>
  </si>
  <si>
    <t>Rebate_Attachments\EP TIP Payment Advice Note from 12312024.pdf</t>
  </si>
  <si>
    <t>EP TIP Payment Advice Note from 12312024.pdf</t>
  </si>
  <si>
    <t>Rebate_Attachments\Rebate Analysis EP TIP Montefiore Medical Center 3Q24_CUST.xlsx</t>
  </si>
  <si>
    <t>Rebate Analysis EP TIP Montefiore Medical Center 3Q24_CUST.xlsx</t>
  </si>
  <si>
    <t>If system-wide 80% market share is met, tier 2 rebate is achieved in which MHS will be rebated $50 for each unit purchased.</t>
  </si>
  <si>
    <t>1001284</t>
  </si>
  <si>
    <t>Medtronic Coronary Vascular</t>
  </si>
  <si>
    <t>2025-01-06</t>
  </si>
  <si>
    <t>1800020869</t>
  </si>
  <si>
    <t>Medtronic DES MHS and Nyack Credit Memo 1.14.25.pdf</t>
  </si>
  <si>
    <t>Rebate_Attachments\Medtronic DES MHS and Nyack Credit Memo 1.14.25.pdf</t>
  </si>
  <si>
    <t>Rebate_Attachments\Medtronic DES Rebate Facility Breakdown 1.14.25.xlsx</t>
  </si>
  <si>
    <t>Medtronic DES Rebate Facility Breakdown 1.14.25.xlsx</t>
  </si>
  <si>
    <t>Rebate_Attachments\Medtronic DES Rebate Info from Contract 1.14.25.pdf</t>
  </si>
  <si>
    <t>Medtronic DES Rebate Info from Contract 1.14.25.pdf</t>
  </si>
  <si>
    <t>Rebate_Attachments\Medtronic DES St. Lukes Credit Memo 1.14.25.pdf</t>
  </si>
  <si>
    <t>Rebate_Attachments\Medtronic DES White Plains Credit Memo 1.14.25.pdf</t>
  </si>
  <si>
    <t>Medline Corporate Rebate from 8/15/2024 - 12/15/2024 period</t>
  </si>
  <si>
    <t>2025-01-08</t>
  </si>
  <si>
    <t>Medline dropped this rebate check off in Tarrytown on 1/8/2025.</t>
  </si>
  <si>
    <t>Medline 8-15-2024 to 12-15-2024 Rebate.xlsx</t>
  </si>
  <si>
    <t>Rebate_Attachments\Medline 8-15-2024 to 12-15-2024 Rebate.xlsx</t>
  </si>
  <si>
    <t>Premier cash Disbursement July - Sept 2024</t>
  </si>
  <si>
    <t>2024-12-27</t>
  </si>
  <si>
    <t>Fee payment of $2,195,181.99 for FY 2024</t>
  </si>
  <si>
    <t>Admin Fee Summary w Resource Details JAN10.xlsx</t>
  </si>
  <si>
    <t>Rebate_Attachments\Admin Fee Summary w Resource Details JAN10.xlsx</t>
  </si>
  <si>
    <t>If 90% market share is met, a rebate of $3k per TriClip is awarded.</t>
  </si>
  <si>
    <t>1000893</t>
  </si>
  <si>
    <t>Abbott Vascular</t>
  </si>
  <si>
    <t>2025-01-13</t>
  </si>
  <si>
    <t>7017351371</t>
  </si>
  <si>
    <t>Abbott TriClip Rebate Credit Memo Info and Facility Breakdown.pdf</t>
  </si>
  <si>
    <t>Rebate_Attachments\Abbott TriClip Rebate Credit Memo Info and Facility Breakdown.pdf</t>
  </si>
  <si>
    <t>Commercial Card Rebate Paymode - X Dividends Deposit</t>
  </si>
  <si>
    <t>Bank of America</t>
  </si>
  <si>
    <t>2025-02-04</t>
  </si>
  <si>
    <t xml:space="preserve">Calculation Period:    09-01-2024 - 11-30-2024_x000D_
_x000D_
Dividends Eligible Spend:    $28,630,289.40 _x000D_
Qualified Rebate:       .40%_x000D_
Rebate Payment:   $ 114,521.16 _x000D_
_x000D_
Non Standard Eligible Spend:  $ 12,782,354.76 _x000D_
Qualified Rebate:       .15%_x000D_
Rebate Payment:  $ 19,173.53 _x000D_
</t>
  </si>
  <si>
    <t>Paymode a X Connect Rebate.docx</t>
  </si>
  <si>
    <t>Rebate_Attachments\Paymode a X Connect Rebate.docx</t>
  </si>
  <si>
    <t>Watchman rebate 1 is achieved if at least 32 FLX Pro procedure bundles are purchased, resulting in a rebate of $2k per bundle._x000D_
Watchman rebate 2 is achieved if a least $900k spend is achieved , resulting in a rebate of $2k per bundle.</t>
  </si>
  <si>
    <t>2024-12-10</t>
  </si>
  <si>
    <t>0703245063, 0703245549, 0703245072, 0703245550</t>
  </si>
  <si>
    <t>BSCI Watchman Rebate Credit Memo and Facility Breakdown 2.5.25.pdf</t>
  </si>
  <si>
    <t>Rebate_Attachments\BSCI Watchman Rebate Credit Memo and Facility Breakdown 2.5.25.pdf</t>
  </si>
  <si>
    <t>Rebate_Attachments\Watchman Rebate Contract Information 8_7_24.pdf</t>
  </si>
  <si>
    <t>Farapulse tier 4 rebate is achieved if at least 60 units are purchased in a quarter in which the facility is rebated for $2k each unit. Each facility achieves their own rebate.</t>
  </si>
  <si>
    <t>1001235</t>
  </si>
  <si>
    <t>704354360 and 704492229</t>
  </si>
  <si>
    <t>Farapulse Rebate Information 12.11.24.pdf</t>
  </si>
  <si>
    <t>Rebate_Attachments\Farapulse Rebate Information 12.11.24.pdf</t>
  </si>
  <si>
    <t>Rebate_Attachments\MMC BSCI Farapulse Rebate and Analysis 2.12.25.pdf</t>
  </si>
  <si>
    <t>MMC BSCI Farapulse Rebate and Analysis 2.12.25.pdf</t>
  </si>
  <si>
    <t>Rebate_Attachments\WPH BSCI Farapulse Rebate Analysis 2.12.25.pdf</t>
  </si>
  <si>
    <t>WPH BSCI Farapulse Rebate Analysis 2.12.25.pdf</t>
  </si>
  <si>
    <t>Premier rebates incentive vendors participation.</t>
  </si>
  <si>
    <t>eft 01034303</t>
  </si>
  <si>
    <t>4 Q24 Premier- Montefiore Pharmacy Rebates .xlsx</t>
  </si>
  <si>
    <t>Rebate_Attachments\4 Q24 Premier- Montefiore Pharmacy Rebates .xlsx</t>
  </si>
  <si>
    <t>BD Lab rebate for October2023-September2024 rebate period.</t>
  </si>
  <si>
    <t>1000025</t>
  </si>
  <si>
    <t>Lab</t>
  </si>
  <si>
    <t>2024-10-31</t>
  </si>
  <si>
    <t xml:space="preserve">BD ACH# FR1555762, Doc#1700559879 </t>
  </si>
  <si>
    <t>BD Lab Rebate Oct2023-Sept2024.xlsx</t>
  </si>
  <si>
    <t>Premier Pharmacy Quarterly Rebate</t>
  </si>
  <si>
    <t>01026405</t>
  </si>
  <si>
    <t>3 Q24 Premier- Montefiore Pharmacy Rebates .xlsx</t>
  </si>
  <si>
    <t>If MHS purchases between 50 and 64 units, a quarterly rebate is given for $2,500 per commercial Transcatheter Heart Product.</t>
  </si>
  <si>
    <t>2024-11-14</t>
  </si>
  <si>
    <t>467205</t>
  </si>
  <si>
    <t>Edwards TAVR Contract Rebate Details.pdf</t>
  </si>
  <si>
    <t>MMC Moses Edwards TAVR Rebate with Breakdown 12.4.24.pdf</t>
  </si>
  <si>
    <t>If MHS purchases between 50 to 64 units, a rebate of $2,500 per commercial transcatheter heart valve product unit is given.</t>
  </si>
  <si>
    <t>2024-11-06</t>
  </si>
  <si>
    <t>1278610</t>
  </si>
  <si>
    <t>Edwards TAVR WPH Rebate and Breakdown 12.4.24.pdf</t>
  </si>
  <si>
    <t>If WPH purchases at least 60 PFA catheters, they will receive a rebate of $2,000 for each catheter purchased.</t>
  </si>
  <si>
    <t>2024-11-18</t>
  </si>
  <si>
    <t>703170798</t>
  </si>
  <si>
    <t>Credit Memo 703170798 12.11.24.pdf</t>
  </si>
  <si>
    <t>Farapulse WPH Rebate Information 12.11.24.pdf</t>
  </si>
  <si>
    <t>WPH Farapulse Rebate Analysis 12.11.24.pdf</t>
  </si>
  <si>
    <t>Renegotiated Cardinal pharmacy distribution contract to improve cost of good and rebates.</t>
  </si>
  <si>
    <t>Cardinal</t>
  </si>
  <si>
    <t>2024-10-30</t>
  </si>
  <si>
    <t xml:space="preserve">2000096197_x000D_
</t>
  </si>
  <si>
    <t>2024- Q3  Savings Breakdown by locations  source AND spd.xlsx</t>
  </si>
  <si>
    <t xml:space="preserve">Renegotiated Cardinal pharmacy distribution contract to improve cost of good and rebates._x000D_
</t>
  </si>
  <si>
    <t>2024-12-18</t>
  </si>
  <si>
    <t>multiple credit memos</t>
  </si>
  <si>
    <t>Annual GVP Member Growth Rebatw</t>
  </si>
  <si>
    <t>PP-FA-987</t>
  </si>
  <si>
    <t>FacilitiesManagement</t>
  </si>
  <si>
    <t>Grainger (IL)</t>
  </si>
  <si>
    <t>2024-09-24</t>
  </si>
  <si>
    <t>Check # 1006148085</t>
  </si>
  <si>
    <t>Grainger Check Copy 102924.pdf</t>
  </si>
  <si>
    <t>Grainger Rebate by Entity_102924.xlsx</t>
  </si>
  <si>
    <t>Grainger_ContractDef_102924.docx</t>
  </si>
  <si>
    <t xml:space="preserve">2000023711_x000D_
</t>
  </si>
  <si>
    <t>Savings Breakdown by location for Montefiore by quarter.xlsx</t>
  </si>
  <si>
    <t>If between $1M and $1.25M is spent, 6% rebate off total spend excluding ICMs.</t>
  </si>
  <si>
    <t>L-BIOTRONIK-CRM-1-MAY-22</t>
  </si>
  <si>
    <t>Biotronik, Inc.</t>
  </si>
  <si>
    <t>2024-10-10</t>
  </si>
  <si>
    <t>5500128281 and 5500128280</t>
  </si>
  <si>
    <t>Biotronik Credit Memo 5500128280.pdf</t>
  </si>
  <si>
    <t>Biotronik Credit Memo 5500128281.pdf</t>
  </si>
  <si>
    <t>Biotronik Rebate Details 11.6.24.PNG</t>
  </si>
  <si>
    <t>Montefiore CRM Rebate 2024 Q3.xlsx</t>
  </si>
  <si>
    <t>2024-10-24</t>
  </si>
  <si>
    <t>021000029063050</t>
  </si>
  <si>
    <t>Biosense Webster EP Catheter Buyback Contract  11-20-2023..pdf</t>
  </si>
  <si>
    <t>BW Rebate ACH Confirmation 11.6.24.png</t>
  </si>
  <si>
    <t>Rebate Analysis BWI Buyback Montefiore Medical Center 2Q24_CUST.xlsx</t>
  </si>
  <si>
    <t>For tier 4 rebate, if at least 60 catheter bundles are purchased, MMC receives a rebate of $2,000 per catheter bundle.</t>
  </si>
  <si>
    <t>2024-10-16</t>
  </si>
  <si>
    <t>702535304</t>
  </si>
  <si>
    <t>BSCI PFA MMC Rebate Breakdown and Analysis 11.12.24.pdf</t>
  </si>
  <si>
    <t>BSCI PFA Rebate Credit Memo 11.12.24.pdf</t>
  </si>
  <si>
    <t>MMC BSCI PFA Rebate Information 11.12.24.pdf</t>
  </si>
  <si>
    <t>BoA quarterly rebate on Paymode credit cards</t>
  </si>
  <si>
    <t>Paymode credit cards</t>
  </si>
  <si>
    <t>2024-01-31</t>
  </si>
  <si>
    <t>00094500131/3000081</t>
  </si>
  <si>
    <t>FW Paymode rebate period 06-01-2024 - 08-30-2024.msg</t>
  </si>
  <si>
    <t xml:space="preserve">BoA quarterly rebate on Paymode credit cards </t>
  </si>
  <si>
    <t>2024-04-29</t>
  </si>
  <si>
    <t>00094500429/3000065</t>
  </si>
  <si>
    <t>2024-07-31</t>
  </si>
  <si>
    <t>00094500731/3000054</t>
  </si>
  <si>
    <t>00094501101/3000055</t>
  </si>
  <si>
    <t>Premier rebates (Q4-2023)</t>
  </si>
  <si>
    <t>Premier rebates</t>
  </si>
  <si>
    <t>Acurity</t>
  </si>
  <si>
    <t>2024-03-01</t>
  </si>
  <si>
    <t>MONTEFIORE MEDICINE ACADEMIC HEALTH SYSTEM INC 759714 - 4Q23 BACKUP.xlsx</t>
  </si>
  <si>
    <t>Premier rebates (Q1-2024)</t>
  </si>
  <si>
    <t>2024-06-28</t>
  </si>
  <si>
    <t>TBD2</t>
  </si>
  <si>
    <t>Jan-Mar - MONTEFIORE MEDICINE ACADEMIC HEALTH SYSTEM INC 759714 - 1Q24 BACKUP.xlsx</t>
  </si>
  <si>
    <t>Premier rebates (Q2-2024)</t>
  </si>
  <si>
    <t>2024-09-26</t>
  </si>
  <si>
    <t>TBD3</t>
  </si>
  <si>
    <t>Apr-Jun - MONTEFIORE MEDICINE ACADEMIC HEALTH SYSTEM INC 759714 - 2Q24 BACKUP.xlsx</t>
  </si>
  <si>
    <t>Tier 3 rebate is earned if at least 30 units are purchased from 6/11/2024 - 6/30/2024</t>
  </si>
  <si>
    <t>2024-09-20</t>
  </si>
  <si>
    <t>1800112292</t>
  </si>
  <si>
    <t>Credit_1800112292_2024_09_20 Medtronic Structural Heart 9.24.24.pdf</t>
  </si>
  <si>
    <t>Medtronic Structural Heart Rebate Terms 9.24.24.pdf</t>
  </si>
  <si>
    <t>MHS Credit_1800112292_2024_09_20 Structural Heart 9.24.24_20240924131601.pdf</t>
  </si>
  <si>
    <t>Rebate Analysis Medtronic Structural Heart 9.24.24.xlsx</t>
  </si>
  <si>
    <t>WP Credit_1800112292_2024_09_20 Medtronic Structural Heart 9.24.24_20240924131601.pdf</t>
  </si>
  <si>
    <t>Tier 3 rebate is earned if at least $2,580,000 is spent or Medtronics market share is greater than or equal to 60% in the last quarter. MHS qualifies with $2,601,968.20 in spend and 73.76% market share.</t>
  </si>
  <si>
    <t>1800114535</t>
  </si>
  <si>
    <t>Medtronic CRM Rebate Terms 9.24.24.pdf</t>
  </si>
  <si>
    <t>MHS Credit_1800114535_2024_09_20.pdf</t>
  </si>
  <si>
    <t>Rebate Analysis Montefiore Health System CRM 9.24.24.xlsx</t>
  </si>
  <si>
    <t>St. Lukes Credit_1800114535_2024_09_20.pdf</t>
  </si>
  <si>
    <t>WP Credit_1800114535_2024_09_20.pdf</t>
  </si>
  <si>
    <t>Quarterly TEER Per Unit Incentive Rebate Program. If MHS has 90% market share on all T-TEER products each quarter, MHS will receive a rebate of $3,000 per TriClip.</t>
  </si>
  <si>
    <t>2024-09-27</t>
  </si>
  <si>
    <t>9301331589</t>
  </si>
  <si>
    <t>CREDIT MEMO 9301331589.pdf</t>
  </si>
  <si>
    <t>Rebate Detail and Facility C50588_ MONTEFIORE HLTH _ TRICLIP SH_ APR - JUN24 Rebates.pdf</t>
  </si>
  <si>
    <t>Medline Corporate Rebate for Q2-2024_x000D_
ACH payment date: 10/3/2024; Payment Dcoument # 14710109, $449,621.94</t>
  </si>
  <si>
    <t>2024-10-03</t>
  </si>
  <si>
    <t>ACH Payment Document # 14710109</t>
  </si>
  <si>
    <t>Medline ACH Payment Confirmation for Medline Q2-2024 Rebate.pdf</t>
  </si>
  <si>
    <t>Medline Rebate Q2-2024.xlsx</t>
  </si>
  <si>
    <t>Rebate is earned if MHS has at least 50% market share in the Diagnostics and Monitoring category of the CRM portfolio. MHS achieved 73.71% market share.</t>
  </si>
  <si>
    <t>2024-10-07</t>
  </si>
  <si>
    <t>1800114373</t>
  </si>
  <si>
    <t>Medtronic CRM LINQ Rebate Contract Info.pdf</t>
  </si>
  <si>
    <t>Medtronic LINQ Rebate Analysis 10..24.xlsx</t>
  </si>
  <si>
    <t>Nyack Medtronic LINQ Credit Memo 10.7.24.pdf</t>
  </si>
  <si>
    <t>St. Lukes Medtronic LINQ Credit Memo 10.7.24.pdf</t>
  </si>
  <si>
    <t>White Plains Medtronic LINQ Credit Memo 10.7.24.pdf</t>
  </si>
  <si>
    <t>a1</t>
  </si>
  <si>
    <t>attachment_1_name</t>
  </si>
  <si>
    <t>a2</t>
  </si>
  <si>
    <t>attachment_2_name</t>
  </si>
  <si>
    <t>a3</t>
  </si>
  <si>
    <t>attachment_3_name</t>
  </si>
  <si>
    <t>a4</t>
  </si>
  <si>
    <t>attachment_4_name</t>
  </si>
  <si>
    <t>Rebate_attachments\Rebate attachments - 09162024\88002034_20240612181746_S-ACURITY-GYNHA-01JAN19 - rebate - Jan- May 2024.xlsx</t>
  </si>
  <si>
    <t>Rebate_attachments\Rebate attachments - 09162024\88002034_20240716091310_Premier Pharmacy Rebates process email.pdf</t>
  </si>
  <si>
    <t>Rebate_attachments\Rebate attachments - 09162024\88002038_20240618090440_Premier rebates file-  6.5.2024_FoodService.xlsx</t>
  </si>
  <si>
    <t>Rebate_attachments\Rebate attachments - 09162024\FoodServiceRebateInfo_20240807143558.docx</t>
  </si>
  <si>
    <t>Rebate_attachments\Rebate attachments - 09162024\88002040_20240618104508_Med Surg_Premier rebates file_ 6.5.2024.xlsx</t>
  </si>
  <si>
    <t>Rebate_attachments\Rebate attachments - 09162024\Deirdre Archie email 2024-08-22_20240828122037.png</t>
  </si>
  <si>
    <t>Rebate_attachments\Rebate attachments - 09162024\MedSurg Rebate Detail Report _June2024_20240807103122.xlsx</t>
  </si>
  <si>
    <t>Rebate_attachments\Rebate attachments - 09162024\MedSurg Rebate Detail Report _June2024revised_20240828122037.xlsx</t>
  </si>
  <si>
    <t>Rebate_attachments\Rebate attachments - 09162024\88002043_20240723155610_Terumo Rebate 7.2.24.pdf</t>
  </si>
  <si>
    <t>Rebate_attachments\Rebate attachments - 09162024\Terumo Rebate Analysis 7.24.24_20240724140010.xlsm</t>
  </si>
  <si>
    <t>Rebate_attachments\Rebate attachments - 09162024\Terumo Rebate Info 7.24.24_20240724140010.pdf</t>
  </si>
  <si>
    <t>Rebate_attachments\Rebate attachments - 09162024\Montefiore Health System_CDS_19479_104977_1.27.24_4.26.24_ZDMF_555104.xlsx</t>
  </si>
  <si>
    <t>Rebate_attachments\Rebate attachments - 09162024\Nyack Credit_1800102787_2024_07_19.pdf</t>
  </si>
  <si>
    <t>Rebate_attachments\Rebate attachments - 09162024\St. Lukes Credit_1800102787_2024_07_19.pdf</t>
  </si>
  <si>
    <t>Rebate_attachments\Rebate attachments - 09162024\WP Credit_1800102787_2024_07_19 (003).pdf</t>
  </si>
  <si>
    <t>Rebate_attachments\Rebate attachments - 09162024\Analysis Montefiore PAS2MA Rebate January 1 - March 31 2024.xlsx</t>
  </si>
  <si>
    <t>Rebate_attachments\Rebate attachments - 09162024\Montefiore Health Rebate Achievement Letter Jan - March 2024.pdf</t>
  </si>
  <si>
    <t>Rebate_attachments\Rebate attachments - 09162024\Montefiore Med Ctr Credit Memo Jan - March 2024.pdf</t>
  </si>
  <si>
    <t>Rebate_attachments\Rebate attachments - 09162024\19239_Montefiore Medical Center_WM_Rebate Notification_Credit Memo_2024_03.pdf</t>
  </si>
  <si>
    <t>Rebate_attachments\Rebate attachments - 09162024\25871_White Plains Hospital Center_WM_Rebate Notification_Credit Memo_2024_03.pdf</t>
  </si>
  <si>
    <t>Rebate_attachments\Rebate attachments - 09162024\Paper Copy Credit Memo_20240807155346.pdf</t>
  </si>
  <si>
    <t>Rebate_attachments\Rebate attachments - 09162024\Watchman Rebate Contract Information 8_7_24.pdf</t>
  </si>
  <si>
    <t>Rebate_attachments\Rebate attachments - 09162024\90231_Montefiore Health System_WM_Rebate Notification_Credit Memo_2024_06 (002).pdf</t>
  </si>
  <si>
    <t>Rebate_attachments\Rebate attachments - 09162024\Montefiore Hard Copies_20240807160121.pdf</t>
  </si>
  <si>
    <t>Rebate_attachments\Rebate attachments - 09162024\2 Q24 Premier- Montefiore Pharmacy Rebates .xlsx</t>
  </si>
  <si>
    <t>Rebate_attachments\Rebate attachments - 09162024\MONTEFIORE MEDICAL CENTER - MOSES DIVISI_Q2_2024_Quarterly Achieved Rebate with Credit Memo.pdf</t>
  </si>
  <si>
    <t>Rebate_attachments\Rebate attachments - 09162024\Rebate Information Amendment 8.27.24.pdf</t>
  </si>
  <si>
    <t>Rebate_attachments\Rebate attachments - 09162024\Medline Montefiore 1Q24 rebate detail.xlsx</t>
  </si>
  <si>
    <t>Rebate_attachments\Rebate attachments - 09162024\Medline Payment Advice 08132024 - Acc 2069398.pdf</t>
  </si>
  <si>
    <t>Rebate_attachments\Rebate attachments - 09162024\23B_PharmOverlay_IMD_MONTEFIORE HEALTH SYSTEM INC_OCT23-MAR24.xlsm</t>
  </si>
  <si>
    <t>Rebate_attachments\Rebate attachments - 09162024\Check image - J&amp;J - 2024-08-13.pdf</t>
  </si>
  <si>
    <t>VENDOR_NAME</t>
  </si>
  <si>
    <t>CONTRACT_SOURCE</t>
  </si>
  <si>
    <t>CONTRACT_CATEGORY</t>
  </si>
  <si>
    <t>CONTRACT_ID</t>
  </si>
  <si>
    <t>INITIATIVE_DESCRIPTION</t>
  </si>
  <si>
    <t>UPDATED_TIMESTAMP</t>
  </si>
  <si>
    <t>CHECK_DATE</t>
  </si>
  <si>
    <t>REBATE_AMOUNT</t>
  </si>
  <si>
    <t>MMC_ALLOCATION</t>
  </si>
  <si>
    <t>MMVO_ALLOCATION</t>
  </si>
  <si>
    <t>MSSO_ALLOCATION</t>
  </si>
  <si>
    <t>NYACK_ALLOCATION</t>
  </si>
  <si>
    <t>WPH_ALLOCATION</t>
  </si>
  <si>
    <t>MSLC_ALLOCATION</t>
  </si>
  <si>
    <t>BRH_ALLOCATION</t>
  </si>
  <si>
    <t>AECOM_ALLOCATION</t>
  </si>
  <si>
    <t>Attachment-1</t>
  </si>
  <si>
    <t>Attachment1</t>
  </si>
  <si>
    <t>Attachment-2</t>
  </si>
  <si>
    <t>Attachment2</t>
  </si>
  <si>
    <t>Attachment-3</t>
  </si>
  <si>
    <t>Attachment3</t>
  </si>
  <si>
    <t>Medline Corporate Rebate on Medline-brand Products</t>
  </si>
  <si>
    <t>6/18/2024, 8:56:07 AM</t>
  </si>
  <si>
    <t xml:space="preserve">Rebate_attachments\88001010_20240306165652_Medline Rebate Q3-2022, Q4-2022, Q1-2023, Q2-2023, Q3-2023.xlsx </t>
  </si>
  <si>
    <t xml:space="preserve">Rebate_attachments\88001010_20240408210627_Medline Rebate July2022 to Sept2023.xlsx </t>
  </si>
  <si>
    <t>Rebate_attachments\88001010_20240604113010_Medline ACH Backup for Q3-2022 to Q3-2023 Rebate.docx</t>
  </si>
  <si>
    <t>Medtronic LINQ Implantable Loop Recorder Rebate</t>
  </si>
  <si>
    <t>6/18/2024, 8:58:11 AM</t>
  </si>
  <si>
    <t>Rebate_attachments\88001011_20240306170124_Medtronic Linq Loop Recorder Rebate 7-29-2023 to 10-27-2023.pdf</t>
  </si>
  <si>
    <t>6/18/2024, 8:57:07 AM</t>
  </si>
  <si>
    <t xml:space="preserve">Rebate_attachments\88002029_20240612165235_88001009_20240228160745_Montefiore Health System_IDN_MONTEFIO_MCS Agreement_27Oct2021_FE.pdf </t>
  </si>
  <si>
    <t>Rebate_attachments\88002029_20240612165235_Abbott Rebate 6.12.24.pdf</t>
  </si>
  <si>
    <t>L0000000000003</t>
  </si>
  <si>
    <t>BD Strategic Collaboration Agreement for Jan2023-Dec2023 time-frame MPR has been processed with Doc#1700539934 VIA Payment method ACH  Total Amount: 335,207.48 ACH Transmission Date: 6/6/2024</t>
  </si>
  <si>
    <t>7/10/2024, 4:00:55 PM</t>
  </si>
  <si>
    <t>Rebate_attachments\88002030_20240612172817_BD Strategic Collaboration Agreement Rebate Jan2023-Dec2023.xlsx</t>
  </si>
  <si>
    <t>Generic source rebate</t>
  </si>
  <si>
    <t>7/9/2024, 9:04:27 AM</t>
  </si>
  <si>
    <t xml:space="preserve">Rebate_attachments\88002035_20240612181602_2024- Q1 Rebate Payment Cardinal .xlsx </t>
  </si>
  <si>
    <t>Rebate_attachments\88002035_20240612181602_2024- Q1- Savings Breakdown by location for Montefiore by quarter.xlsx</t>
  </si>
  <si>
    <t>Pfizer Injectable growth performance rebate agreement.</t>
  </si>
  <si>
    <t>6/25/2024, 2:08:02 PM</t>
  </si>
  <si>
    <t>Rebate_attachments\88002036_20240617171800_C25824-5 Montefiore Annual Perform Rebate 1.1 to 12.31.23 Summary History Final for Customer.xlsx</t>
  </si>
  <si>
    <t>L-ABBOTT-TAVR-VALVE-13-JAN-22</t>
  </si>
  <si>
    <t>Abbott TAVR valve rebate for 11/1/2023 - 1/31/24 rebate period</t>
  </si>
  <si>
    <t>6/25/2024, 1:31:14 PM</t>
  </si>
  <si>
    <t xml:space="preserve">Rebate_attachments\88002041_20240620114123_Abbott TAVR Valve Credit Memo Nov2023-Jan2024 Rebate BACK-UP.pdf </t>
  </si>
  <si>
    <t>Rebate_attachments\88002041_20240620114123_Abbott TAVR Valve Credit Memo Nov2023-Jan2024.pdf</t>
  </si>
  <si>
    <t>Abbott TAVR Rebate for 2/1/2024 - 4/30/2024 rebate period</t>
  </si>
  <si>
    <t>6/25/2024, 1:42:44 PM</t>
  </si>
  <si>
    <t xml:space="preserve">Rebate_attachments\88002042_20240620140339_Abbott TAVR Valve Credit Memo Feb2024-April2024 Rebate BACK-UP.pdf </t>
  </si>
  <si>
    <t>Rebate_attachments\88002042_20240620140339_Abbott TAVR Valve Credit Memo Feb2024-April2024.pdf</t>
  </si>
  <si>
    <t>Initiative ID</t>
  </si>
  <si>
    <t>Contract Category</t>
  </si>
  <si>
    <t>Contract ID</t>
  </si>
  <si>
    <t>Description</t>
  </si>
  <si>
    <t>Vendor Name</t>
  </si>
  <si>
    <t>Rebate Amount</t>
  </si>
  <si>
    <t>MMC Allocation</t>
  </si>
  <si>
    <t>MMVO Allocation</t>
  </si>
  <si>
    <t>MSSO Allocation</t>
  </si>
  <si>
    <t>NYACK Allocation</t>
  </si>
  <si>
    <t>WPH Allocation</t>
  </si>
  <si>
    <t>MSLC Allocation</t>
  </si>
  <si>
    <t>BURKE Allocation</t>
  </si>
  <si>
    <t>AECOM Allocation</t>
  </si>
  <si>
    <t>File1</t>
  </si>
  <si>
    <t>1</t>
  </si>
  <si>
    <t>2</t>
  </si>
  <si>
    <t>4</t>
  </si>
  <si>
    <t>Attachment4</t>
  </si>
  <si>
    <t>5</t>
  </si>
  <si>
    <t>Attachment5</t>
  </si>
  <si>
    <t>Rebate_attachments\88000002_20240202171551_Edwards Pascal Rebate Credit Q4-2023.pdf</t>
  </si>
  <si>
    <t>Rebate_attachments\88000002_20240604153850_Edwards Pascal Rebate Credit Q4-2023 rev.pdf</t>
  </si>
  <si>
    <t>Rebate_attachments\88001003_20240220154352_Edwards TAVR REbate OCT2023-DEC2023 Q4-2023.pdf</t>
  </si>
  <si>
    <t>Rebate_attachments\88001005_20240227164725_Copy of 9.1.23 to 11.30.23 ACH Payments Processed Susccessfully - Montefiore.xlsx</t>
  </si>
  <si>
    <t>Rebate_attachments\88001005_20240227164725_Forecasting Your Paymode-X Connect or Comprehensive Payables Dividends _ Premium ACH Rebate_2023.pdf</t>
  </si>
  <si>
    <t>Rebate_attachments\88001005_20240227164725_Montefiore Health System Inc Schedules I,II, III.pdf</t>
  </si>
  <si>
    <t>Rebate_attachments\88001005_20240227164725_Montefiore Signed Paymode Schedule.pdf</t>
  </si>
  <si>
    <t>Rebate_attachments\88001005_20240227164725_RE  Rebate Paymode Calculation Period 09-01-2023 - 11-30-2023.msg</t>
  </si>
  <si>
    <t>Rebate_attachments\88001009_20240228160745_Montefiore Health System_IDN_MONTEFIO_MCS Agreement_27Oct2021_FE.pdf</t>
  </si>
  <si>
    <t>Rebate_attachments\88001009_20240228160745_Q423_106524US_Growth Rebate Pump8.pdf</t>
  </si>
  <si>
    <t>Rebate_attachments\88001012_20240306173038_Medtronic CRM Rebates 7-29-2023 to 10-27-2023.pdf</t>
  </si>
  <si>
    <t>Rebate_attachments\88001013_20240312095604_Medline Q4-2023 Rebate EFT Confirmation 3-7-2024.pdf</t>
  </si>
  <si>
    <t>Rebate_attachments\88001013_20240312095604_Medline Rebate Q4-2023 Detail.xlsx</t>
  </si>
  <si>
    <t>Rebate_attachments\88001014_20240321160620_Medtronic 10-26-2023 Bulk Summary.xlsx</t>
  </si>
  <si>
    <t>Rebate_attachments\88001014_20240321160620_Medtronic TAVR Rebate from 10-26-2023 Bulk PO.pdf</t>
  </si>
  <si>
    <t>Rebate_attachments\88002016_20240409103728_Medtronic TAVR Rebate July2023 to Sept2023.pdf</t>
  </si>
  <si>
    <t>Rebate_attachments\88002020_20240501165727_Rebate_Template_USFood_41724.xlsx</t>
  </si>
  <si>
    <t>Rebate_attachments\88002020_20240501165727_USFoodRebateChk_9472753.pdf</t>
  </si>
  <si>
    <t>Rebate_attachments\88002021_20240504143537_Rebate_Template_USFood32024.xlsx</t>
  </si>
  <si>
    <t>Rebate_attachments\88002021_20240504143537_USFoodRebateChk_9469957.pdf</t>
  </si>
  <si>
    <t>Rebate_attachments\88002022_20240507094024_Biotronik CRM Rebate 1-1-2024 to 3-31-2024.pdf</t>
  </si>
  <si>
    <t>Rebate_attachments\88002022_20240508102402_Biotronik CRM Rebate 1-1-2024 to 3-31-2024.pdf</t>
  </si>
  <si>
    <t>Rebate_attachments\88002023_20240508161427_Medtronic DES Rebate 10-1-2023 to 12-31-2023.pdf</t>
  </si>
  <si>
    <t>Rebate_attachments\88002024_20240516130149_Edwards TAVR Rebate JAN2024-MARCH2024 Q1-2024.pdf</t>
  </si>
  <si>
    <t>Rebate_attachments\88002028_20240604161728_Biosense Webster Ultrasound Catheter Buyback Rebate Q4-2023 (11-20-2023 to 12-31-2023 pro-rated).pdf</t>
  </si>
  <si>
    <t>INITIATIVE_ID</t>
  </si>
  <si>
    <t>FILE_PATH</t>
  </si>
  <si>
    <t>UPLOADED_BY</t>
  </si>
  <si>
    <t>UPLOAD_TIME</t>
  </si>
  <si>
    <t>IS_DELETED</t>
  </si>
  <si>
    <t>IS_INIT_DELETED</t>
  </si>
  <si>
    <t>88000002_20240202171551_Edwards Pascal Rebate Credit Q4-2023.pdf</t>
  </si>
  <si>
    <t>\\montefiore.org\centralfiles\data\Procurement PMO\SAVINGS_TRACKER_2023</t>
  </si>
  <si>
    <t>abc</t>
  </si>
  <si>
    <t>88000002_20240604153850_Edwards Pascal Rebate Credit Q4-2023 rev.pdf</t>
  </si>
  <si>
    <t>88001014_20240321160620_Medtronic TAVR Rebate from 10-26-2023 Bulk PO.pdf</t>
  </si>
  <si>
    <t>88001014_20240321160620_Medtronic 10-26-2023 Bulk Summary.xlsx</t>
  </si>
  <si>
    <t>88001013_20240312095604_Medline Rebate Q4-2023 Detail.xlsx</t>
  </si>
  <si>
    <t>88001013_20240312095604_Medline Q4-2023 Rebate EFT Confirmation 3-7-2024.pdf</t>
  </si>
  <si>
    <t>88002023_20240508161427_Medtronic DES Rebate 10-1-2023 to 12-31-2023.pdf</t>
  </si>
  <si>
    <t>88002020_20240501165727_Rebate_Template_USFood_41724.xlsx</t>
  </si>
  <si>
    <t>88002020_20240501165727_USFoodRebateChk_9472753.pdf</t>
  </si>
  <si>
    <t>88001012_20240306173038_Medtronic CRM Rebates 7-29-2023 to 10-27-2023.pdf</t>
  </si>
  <si>
    <t>88001005_20240227164725_Copy of 9.1.23 to 11.30.23 ACH Payments Processed Susccessfully - Montefiore.xlsx</t>
  </si>
  <si>
    <t>88001005_20240227164725_Forecasting Your Paymode-X Connect or Comprehensive Payables Dividends _ Premium ACH Rebate_2023.pdf</t>
  </si>
  <si>
    <t>88001005_20240227164725_Montefiore Health System Inc Schedules I,II, III.pdf</t>
  </si>
  <si>
    <t>88001005_20240227164725_RE  Rebate Paymode Calculation Period 09-01-2023 - 11-30-2023.msg</t>
  </si>
  <si>
    <t>88001005_20240227164725_Montefiore Signed Paymode Schedule.pdf</t>
  </si>
  <si>
    <t>88002024_20240516130149_Edwards TAVR Rebate JAN2024-MARCH2024 Q1-2024.pdf</t>
  </si>
  <si>
    <t>88002021_20240504143537_USFoodRebateChk_9469957.pdf</t>
  </si>
  <si>
    <t>88002021_20240504143537_Rebate_Template_USFood32024.xlsx</t>
  </si>
  <si>
    <t>88002028_20240604161728_Biosense Webster Ultrasound Catheter Buyback Rebate Q4-2023 (11-20-2023 to 12-31-2023 pro-rated).pdf</t>
  </si>
  <si>
    <t>88001003_20240220154352_Edwards TAVR REbate OCT2023-DEC2023 Q4-2023.pdf</t>
  </si>
  <si>
    <t>88002016_20240409103728_Medtronic TAVR Rebate July2023 to Sept2023.pdf</t>
  </si>
  <si>
    <t>88002022_20240507094024_Biotronik CRM Rebate 1-1-2024 to 3-31-2024.pdf</t>
  </si>
  <si>
    <t>88002022_20240508102402_Biotronik CRM Rebate 1-1-2024 to 3-31-2024.pdf</t>
  </si>
  <si>
    <t>88001009_20240228160745_Montefiore Health System_IDN_MONTEFIO_MCS Agreement_27Oct2021_FE.pdf</t>
  </si>
  <si>
    <t>88001009_20240228160745_Q423_106524US_Growth Rebate Pump8.pdf</t>
  </si>
  <si>
    <t>Rebate of $3k earned for each TriClip purchased in a quarter if 90% market share is achieved.</t>
  </si>
  <si>
    <t>2025-03-14</t>
  </si>
  <si>
    <t>7017672738</t>
  </si>
  <si>
    <t>Abbott Triclip Amendment.pdf</t>
  </si>
  <si>
    <t>Montefiore LTR Q4.24 TriClip Credit Memo and rebate breakdown.pdf</t>
  </si>
  <si>
    <t>Rebate of $3k is earned for each TriClip purchased in a quarter if 90% market share is met.</t>
  </si>
  <si>
    <t>2025-03-12</t>
  </si>
  <si>
    <t>7017949181</t>
  </si>
  <si>
    <t>TriClip Credit Memo 2025Q1.pdf</t>
  </si>
  <si>
    <t>Premier Pharmacy Quarterly Rebate.</t>
  </si>
  <si>
    <t>2025-03-21</t>
  </si>
  <si>
    <t>01096931</t>
  </si>
  <si>
    <t>Q1 2025 Premier-  Rebates Paid  .xlsx</t>
  </si>
  <si>
    <t>Source Generic compliance</t>
  </si>
  <si>
    <t>2025-04-08</t>
  </si>
  <si>
    <t xml:space="preserve">7034984525
</t>
  </si>
  <si>
    <t>Q1 2025 - source rebate - saving tracker file.xlsx</t>
  </si>
  <si>
    <t>SPD credit</t>
  </si>
  <si>
    <t>2025-04-22</t>
  </si>
  <si>
    <t>Q1 2025 - SPD credit memo- Saving tracker file.xlsx</t>
  </si>
  <si>
    <t>Volume rebate for Pylarify</t>
  </si>
  <si>
    <t>pending</t>
  </si>
  <si>
    <t>Lantheus - Progenics</t>
  </si>
  <si>
    <t>2025-03-17</t>
  </si>
  <si>
    <t>5886111</t>
  </si>
  <si>
    <t>3.17.2025 -MONTEFIORE Customer Rebate Report 10.1 to 12.31.xlsx</t>
  </si>
  <si>
    <t>Lantheus- Progenics pharmacy  ACH Wire Transfer 32000185 paid 03.14.25.pdf</t>
  </si>
  <si>
    <t>BD Strategic Collaboration Agreement (SCA) Rebate for July2024-Dec2024 period
ACH # 2001149048, ACH Date: 5/19/2025, ACH Amount: $528,031.61</t>
  </si>
  <si>
    <t>2025-05-19</t>
  </si>
  <si>
    <t>ACH # 2001149048, ACH Date: 5/19/2025, ACH Amount: $528,031.61</t>
  </si>
  <si>
    <t>BD SCA July2024-Dec2024 Detail.xlsx</t>
  </si>
  <si>
    <t>BD SCA Rebate July2024-Dec2024 ACH Confirmation 5-19-2025.pdf</t>
  </si>
  <si>
    <t>BD General Urology Rebate for 10/1/2024 - 2/28/2025 period
ACH # 2001149048, ACH Date: 5/19/2025, ACH Amount: $114,928.50</t>
  </si>
  <si>
    <t>ACH # 2001149048, ACH Date: 5/19/2025, ACH Amount: $114,928.50</t>
  </si>
  <si>
    <t>BD General Urology ACH Payment Confirmation for Oct2024-Feb2025 Rebate 5-19-2025.pdf</t>
  </si>
  <si>
    <t>BD General Urology Rebate Oct2024-Feb2025.xlsx</t>
  </si>
  <si>
    <t>Watchman rebate 1 is earned by purchasing at least 32 FLX Procedures bundles with a rebate of $2000 for each bundle. Watchman rebate 2 is earned by purchasing at least $900k in CRM and IC products. This rebate combines both together.</t>
  </si>
  <si>
    <t>2025-02-13</t>
  </si>
  <si>
    <t>0704561686, 0704561687, 0704561763, 0704561764</t>
  </si>
  <si>
    <t>BSCI Watchman 2024Q4 Rebate.pdf</t>
  </si>
  <si>
    <t>BSCI Watchman Rebate Contract Info 1.14.25.pdf</t>
  </si>
  <si>
    <t>2025-04-23</t>
  </si>
  <si>
    <t>2008809074</t>
  </si>
  <si>
    <t>MHS Watchman Rebate 2025Q1.pdf</t>
  </si>
  <si>
    <t>If between $1M and $1.25M is spend a quarter, MHS will be rebated 6% of the spend.</t>
  </si>
  <si>
    <t>5500204478</t>
  </si>
  <si>
    <t>Biotronik Credit Memo Rebate 2025Q1 5500204478.pdf</t>
  </si>
  <si>
    <t>Biotronik Montefiore CRM Rebate 2025 Q1.xlsx</t>
  </si>
  <si>
    <t>If 80% MS is met, MHS is rebated $50 per unit.</t>
  </si>
  <si>
    <t>2025-05-16</t>
  </si>
  <si>
    <t>1800108876</t>
  </si>
  <si>
    <t>Medtronic DES Rebate Breakdown 2024Q4.xlsx</t>
  </si>
  <si>
    <t>MMC Medtronic DES Rebate 2024Q4.pdf</t>
  </si>
  <si>
    <t>St. Lukes Medtronic DES Rebate 2024Q4.pdf</t>
  </si>
  <si>
    <t>WPH Medtronic DES Credit Memo 2024Q4.pdf</t>
  </si>
  <si>
    <t xml:space="preserve">J.P. Morgan - Chase, quarterly rebate of $113,511.76 covering the period from February through April 2025.   </t>
  </si>
  <si>
    <t>2025-05-30</t>
  </si>
  <si>
    <t>Feb - April 2025</t>
  </si>
  <si>
    <t>14223-Montefiore-REBATE-Quarterly-Apr-2025.pdf</t>
  </si>
  <si>
    <t>Medline Collection Rebate for selected medical devices</t>
  </si>
  <si>
    <t>1004044</t>
  </si>
  <si>
    <t>2025-05-15</t>
  </si>
  <si>
    <t>ACH Payment Date: 5/15/2025; ACH Confirmation # 14614078, $8,550.50</t>
  </si>
  <si>
    <t>Medline Collection Rebate Q4-2024 and Q1-2025.xlsx</t>
  </si>
  <si>
    <t>If MHS purchases between 65-74 units in a quarter, MHS is rebated $3k per unit. This entry is for WPH.</t>
  </si>
  <si>
    <t>2025-06-08</t>
  </si>
  <si>
    <t>1294498</t>
  </si>
  <si>
    <t>Edwards TAVR Rebate INFO 3.5.25.pdf</t>
  </si>
  <si>
    <t>Edwards TAVR WHITE PLAINS HOSP ASSOC_Q1_2025_Quarterly Achieved Rebate with Credit Memo.pdf</t>
  </si>
  <si>
    <t>If at least 60 Farawave PFA catheters are purchased, MHS is rebated $2000 per unit. This entry is for WPH</t>
  </si>
  <si>
    <t>2025-04-15</t>
  </si>
  <si>
    <t>705970461</t>
  </si>
  <si>
    <t>WPH BSCI PFA Rebate Credit Memo 2025Q1.pdf</t>
  </si>
  <si>
    <t>If at least 60 Farawave PFA Catheters are purchased in a quarter, MHS is rebated $2k per unit.</t>
  </si>
  <si>
    <t>2025-03-20</t>
  </si>
  <si>
    <t>705435845</t>
  </si>
  <si>
    <t>MMC BSCI Farapulse Rebate 2025Q1.pdf</t>
  </si>
  <si>
    <t>Premier cash Disbursement</t>
  </si>
  <si>
    <t>2025-06-26</t>
  </si>
  <si>
    <t>Fee payment of $1,700,706.49 for FY 2025 Jan-Mar</t>
  </si>
  <si>
    <t>Copy of MONTEFIORE MEDICINE ACADEMIC HEALTH SYSTEM INC. 759714 - 1Q25.xlsx</t>
  </si>
  <si>
    <t>Foodservice CMA rebates relating to Foodservice purchases.</t>
  </si>
  <si>
    <t>2025-06-25</t>
  </si>
  <si>
    <t>Premier Food Services Rebate  - (1Q25)</t>
  </si>
  <si>
    <t>1Q25_HHUTCHIN@montefiore.org_Food Services.pdf</t>
  </si>
  <si>
    <t>MHS provides platinum from recycled catheters to vendor to recycle in exchange for rebate payment depending on the weight of the platinum and market value of the platinum.</t>
  </si>
  <si>
    <t>2025-06-06</t>
  </si>
  <si>
    <t>115727195</t>
  </si>
  <si>
    <t>Biosense Webster EP Platinum Tip Recycling Program Agmt..pdf</t>
  </si>
  <si>
    <t>Biosense Webster Platinum Rebate 2025Q1 7.1.25.pdf</t>
  </si>
  <si>
    <t>MHS is rebated $100 per catheter given to vendor for reprocessing each quarter.</t>
  </si>
  <si>
    <t>2025-06-04</t>
  </si>
  <si>
    <t>115727196</t>
  </si>
  <si>
    <t>Biosense Webster Buyback ACH payment Confirmation 2025Q1 7.1.25.pdf</t>
  </si>
  <si>
    <t>Biosense Webster EP Catheter Buyback Contract.pdf</t>
  </si>
  <si>
    <t>BWI Buyback 2025Q1 Facility Breakdown.xlsx</t>
  </si>
  <si>
    <t>Quarterly Rebate for Edwards TAVR. If at 65 to 74 units are purchased in a quarter, MHS is rebated $3k per unit.</t>
  </si>
  <si>
    <t>532281</t>
  </si>
  <si>
    <t>Edwards TAVR Rebate 2025Q1 MMC 532281.pdf</t>
  </si>
  <si>
    <t>MONTEFIORE MEDICAL CENTER Edwards TAVR Rebate Letter 2025Q1.pdf</t>
  </si>
  <si>
    <t>1% loyalty rebate and 7% growth rebate.</t>
  </si>
  <si>
    <t>1129451</t>
  </si>
  <si>
    <t>MHS Terumo Growth and Loyalty Rebate 2024 to 2025 7.15.25.xlsm</t>
  </si>
  <si>
    <t>Terumo Growth and Loyalty Rebate Check 6.25.25.pdf</t>
  </si>
  <si>
    <t>2025-04-28</t>
  </si>
  <si>
    <t>9495033</t>
  </si>
  <si>
    <t>scan_ctrinidad_2025-07-14-10-44-28.pdf</t>
  </si>
  <si>
    <t>If at least 22 units are purchased, MHS is rebated $2k for each CBV valve purchased.</t>
  </si>
  <si>
    <t>2025-08-01</t>
  </si>
  <si>
    <t>1800133999</t>
  </si>
  <si>
    <t>Medtronic TAVR Rebate Breakdown 8.6.25.xlsx</t>
  </si>
  <si>
    <t>Medtronic TAVR Rebate Montefiore 8.6.25.pdf</t>
  </si>
  <si>
    <t>Medtronic TAVR Rebate WPH 8.6.25.pdf</t>
  </si>
  <si>
    <t>Baxter IV Therapy Premier Rebate for MMC for Feb2024-Jan2025 period_x000D_
ACH payment date: 4/18/2025</t>
  </si>
  <si>
    <t>PP-IV-133</t>
  </si>
  <si>
    <t>Baxter USA</t>
  </si>
  <si>
    <t>2025-04-18</t>
  </si>
  <si>
    <t>Baxter IV Therapy Rebate MMC  2-1-2024 to 1-31-2025.pdf</t>
  </si>
  <si>
    <t xml:space="preserve">Baxter IV Therapy Premier Rebate for Mount Vernon for Feb2024-Jan2025 period_x000D_
ACH payment date: 4/18/2025_x000D_
</t>
  </si>
  <si>
    <t>Baxter IV Therapy Premier Rebate for Mount Vernon for Feb2024-Jan2025 period_x000D_
ACH payment date: 4/18/2025</t>
  </si>
  <si>
    <t>Baxter IV Therapy Rebate MOUNT VERNON 2-1-2024 to 1-31-2025.pdf</t>
  </si>
  <si>
    <t xml:space="preserve">Baxter IV Therapy Premier Rebate for New Rochelle for Feb2024-Jan2025 period_x000D_
ACH payment date: 4/18/2025_x000D_
</t>
  </si>
  <si>
    <t>Baxter IV Therapy Premier Rebate for New Rochelle for Feb2024-Jan2025 period_x000D_
ACH payment date: 4/18/2025</t>
  </si>
  <si>
    <t>Baxter IV Therapy Rebate NEW ROCHELLE 2-1-2024 to 1-31-2025.pdf</t>
  </si>
  <si>
    <t xml:space="preserve">Baxter IV Therapy Premier Rebate for Nyack for Feb2024-Jan2025 period_x000D_
ACH payment date: 4/18/2025_x000D_
</t>
  </si>
  <si>
    <t>Baxter IV Therapy Premier Rebate for Nyack for Feb2024-Jan2025 period_x000D_
ACH payment date: 4/18/2025</t>
  </si>
  <si>
    <t>Baxter IV Therapy Rebate NYACK 2-1-2024 to 1-31-2025.pdf</t>
  </si>
  <si>
    <t>Cardinal specialty products rebates.</t>
  </si>
  <si>
    <t>M-PP-PW18CES</t>
  </si>
  <si>
    <t>2025-07-18</t>
  </si>
  <si>
    <t>Multiples</t>
  </si>
  <si>
    <t>2025 - Q2 - SPD rebate saving - .xlsx</t>
  </si>
  <si>
    <t>Cardinal source generic saving</t>
  </si>
  <si>
    <t>M-PP_P1W18CES</t>
  </si>
  <si>
    <t>Multiple</t>
  </si>
  <si>
    <t>2025 - Q2 - source rebate saving - .xlsx</t>
  </si>
  <si>
    <t>2025 - Q2 - source rebate saving - _20250812161953.xlsx</t>
  </si>
  <si>
    <t>Pylarify piflufolastat F 18 injection volume rebate.</t>
  </si>
  <si>
    <t>1023267</t>
  </si>
  <si>
    <t>1278528000</t>
  </si>
  <si>
    <t>7.17.25 -Montefiore Medical Park Base Fee April 2025 Customer Rebate Report -Feb-April.xlsx</t>
  </si>
  <si>
    <t>Lantheus- Progenics pharmacy  ACH Wire Transfer paid 7.17.25.pdf</t>
  </si>
  <si>
    <t>Baxter IV Therapy Rebate for St Lukes for FEB2024-JAN2025 time-frame_x000D_
ACH payment date was 4/18/2025</t>
  </si>
  <si>
    <t>Baxter IV Therapy Rebate ST LUKES  2-1-2024 to 1-31-2025.xlsx</t>
  </si>
  <si>
    <t>Premier rebate incentive.</t>
  </si>
  <si>
    <t>2025-07-01</t>
  </si>
  <si>
    <t>multiple</t>
  </si>
  <si>
    <t>Q 2 2025 Premier-  Rebates Paid  .xlsx</t>
  </si>
  <si>
    <t>If at least 60 Farawave PFA catheters are purchased, MHS will be rebated $2k per catheter every quarter.</t>
  </si>
  <si>
    <t>707742428</t>
  </si>
  <si>
    <t>Farapulse Credit Memo 07742428.pdf</t>
  </si>
  <si>
    <t>MMC Farapulse Rebate 2025Q2.pdf</t>
  </si>
  <si>
    <t>If at least 60 Farawave catheters are purchased in a quarter, MHS is rebated $2k per catheter.</t>
  </si>
  <si>
    <t>2025-08-04</t>
  </si>
  <si>
    <t>708428068</t>
  </si>
  <si>
    <t>WPH Farapulse 2025Q2 Rebate Breakdown.pdf</t>
  </si>
  <si>
    <t>WPH Farapulse Credit Memo 08428068.pdf</t>
  </si>
  <si>
    <t>If MHS purchases between 50-64 units per quarter, MHS will be rebated $2,500 each unit.</t>
  </si>
  <si>
    <t>2025-08-08</t>
  </si>
  <si>
    <t>1302367</t>
  </si>
  <si>
    <t>Edwards TAVR Rebate Info 12.4.24.pdf</t>
  </si>
  <si>
    <t>WPH Edwards TAVR Rebate 2025Q2.pdf</t>
  </si>
  <si>
    <t>If MMC purchases 100-149 Sentinel Cerebral Protection Systems, they will be rebated $1500 for each unit. This is a bi-annual rebate and this is for the first half of 2024.</t>
  </si>
  <si>
    <t>1000122</t>
  </si>
  <si>
    <t>2024-09-05</t>
  </si>
  <si>
    <t>0701542006</t>
  </si>
  <si>
    <t>BSCI Sentinel Rebate Credit Memo and Breakdown Jan-Jun 2024.pdf</t>
  </si>
  <si>
    <t>BSCI Sentinel Rebate Info.pdf</t>
  </si>
  <si>
    <t>If MMC purchases between 40-99 Sentinel Cerebral Protection Systems, they qualify for tier 1 of the rebate which is $1200 per unit. This is the 2nd half of the 2024 bi-annual rebate.</t>
  </si>
  <si>
    <t>2025-02-14</t>
  </si>
  <si>
    <t>0704703558</t>
  </si>
  <si>
    <t>BSCI Sentinel Rebate Credit Memo and Breakdown Jul24-Dec24.pdf</t>
  </si>
  <si>
    <t>If MMC purchases between 40-99 Sentinel Cerebral Protection Systems, they qualify for tier 1 of the rebate which is $1200 per unit. This is the bi-annual rebate for the first half of 2025.</t>
  </si>
  <si>
    <t>2025-08-19</t>
  </si>
  <si>
    <t>708260085</t>
  </si>
  <si>
    <t>BSCI Sentinel Rebate Credit Memo and Breakdown Jan-Jun 2025.pdf</t>
  </si>
  <si>
    <t>Boston Scientific Cardiac Rhythm Management Corporate Incentive Program.</t>
  </si>
  <si>
    <t xml:space="preserve">CRM Rebate </t>
  </si>
  <si>
    <t>Boston Scientific Corporation</t>
  </si>
  <si>
    <t>2025-08-27</t>
  </si>
  <si>
    <t>520357-0007-07</t>
  </si>
  <si>
    <t>03.05.2025 Montefiore Health System Excel Report.xlsx</t>
  </si>
  <si>
    <t>90231_MONTEFIORE HEALTH SYSTEM_CRM_Rebate Notification_2025.05.pdf</t>
  </si>
  <si>
    <t>2025-04-13</t>
  </si>
  <si>
    <t xml:space="preserve">20250413 (Invoice Number)_x000D_
</t>
  </si>
  <si>
    <t>Amendment - Winston Support Services LLC.pdf</t>
  </si>
  <si>
    <t>Winston Rebates 2024 - 2025 9.9.xlsx</t>
  </si>
  <si>
    <t>2025-07-13</t>
  </si>
  <si>
    <t>20250713 (Invoice Number)</t>
  </si>
  <si>
    <t>Utilizing OptiFreight services MHS has the potential to save money on all FedEx shipping charges. Initial estimate of savings is approximately $1.65M annually</t>
  </si>
  <si>
    <t>PP-SV-352</t>
  </si>
  <si>
    <t>Cardinal Health</t>
  </si>
  <si>
    <t>2025-09-04</t>
  </si>
  <si>
    <t>7194026037</t>
  </si>
  <si>
    <t>CM Invoice 7194026037.pdf</t>
  </si>
  <si>
    <t>Rebate for vending sales</t>
  </si>
  <si>
    <t>Superior Vending Services</t>
  </si>
  <si>
    <t>SUPERIOR VENDING</t>
  </si>
  <si>
    <t>2025-07-31</t>
  </si>
  <si>
    <t>commission revenue paid to MHS FANS 2025 by month: Jan - July</t>
  </si>
  <si>
    <t>MHS - Vending sales rebate PROOF OF DEPOSIT_20250916142804.pdf</t>
  </si>
  <si>
    <t>MHS - Vending sales rebate.pdf</t>
  </si>
  <si>
    <t>Montefiore Medical Center Commercial Card Rebate - May through Jul 2025</t>
  </si>
  <si>
    <t>FW Montefiore Medical Center Commercial Card Rebate - May through Jul 2025 - REBATE Payment Processed 09-04-2025.msg</t>
  </si>
  <si>
    <t>2025-07-07</t>
  </si>
  <si>
    <t>66531</t>
  </si>
  <si>
    <t>2 Fastaff Amendment 4 Montefiore Med Ctr BRONX locations 20240301 Fully executed .pdf</t>
  </si>
  <si>
    <t>Clinical Staffing Agreement - Fastaff LLC_20250917134425.pdf</t>
  </si>
  <si>
    <t>Fastaff Rebates 2024-2025 9.4.xlsx</t>
  </si>
  <si>
    <t>Fastaff Rebates 2024-2025 9.4_20250924143843.xlsx</t>
  </si>
  <si>
    <t>2025-07-11</t>
  </si>
  <si>
    <t>66532</t>
  </si>
  <si>
    <t>Clinical Staffing Agreement - Fastaff LLC.pdf</t>
  </si>
  <si>
    <t>Fastaff Rebates 2024-2025 9.4_20250924143825.xlsx</t>
  </si>
  <si>
    <t>66533</t>
  </si>
  <si>
    <t>Fastaff Rebates 2024-2025 9.4_20250924143902.xlsx</t>
  </si>
  <si>
    <t>66534</t>
  </si>
  <si>
    <t>Fastaff Rebates 2024-2025 9.4_20250924143932.xlsx</t>
  </si>
  <si>
    <t>BD Strategic Collaboration Agreement (SCA) Rebate for January2025-June2025 period_x000D_
ACH# 1700592471 , ACH Payment Date: 8/18/25, $193,567.06</t>
  </si>
  <si>
    <t>2025-08-18</t>
  </si>
  <si>
    <t>BD SCA Rebate Jan2025-June2025 ACH Confirmation 8-18-2025.pdf</t>
  </si>
  <si>
    <t>BD SCA Rebate Jan2025-June2025 Detail.xlsx</t>
  </si>
  <si>
    <t>Watchman rebate 1 entails MHS being rebated $2k per bundle if at least 32 bundles are purchased. Rebate 2 rebates MHS for $2500 per bundle if at least $900k in spent in the quarter. This rebate combines both together.</t>
  </si>
  <si>
    <t>2025-07-24</t>
  </si>
  <si>
    <t>2008858569</t>
  </si>
  <si>
    <t>ACH Confirmation Number.PNG</t>
  </si>
  <si>
    <t>BSCI Watchman Rebate 2025Q2.pdf</t>
  </si>
  <si>
    <t>If 50-64 units are purchased in a quarter, MHS is rebated $2,500 for each unit. Separate payments are sent for MMC and WPH. This submission if specifically for MMC.</t>
  </si>
  <si>
    <t>2025-08-15</t>
  </si>
  <si>
    <t>565604</t>
  </si>
  <si>
    <t>Edwards TAVR 2025Q2 Check Info.PNG</t>
  </si>
  <si>
    <t>Edwards TAVR Rebate Credit Memo 2025Q2.pdf</t>
  </si>
  <si>
    <t>Edwards TAVR Rebate MMC 2025Q2.pdf</t>
  </si>
  <si>
    <t>If 60-80% MS is met, MHS is rebated $25 per unit.</t>
  </si>
  <si>
    <t>2025-08-22</t>
  </si>
  <si>
    <t>1800133339</t>
  </si>
  <si>
    <t>Medtronic DES 2025Q1 Rebate Breakdown 9.24.25.xlsx</t>
  </si>
  <si>
    <t>Medtronic DES MMC and Nyack 2025Q1 Rebate Credit Memo.pdf</t>
  </si>
  <si>
    <t>Medtronic DES St. Lukes 2025Q1 Credit Memo.pdf</t>
  </si>
  <si>
    <t>Medtronic DES WPH 2025Q1 Rebate Credit Memo.pdf</t>
  </si>
  <si>
    <t>DPI update - the DPI for the first half has been achieved, resulting in a  $69,452.85 rebate based on the CMA credits for out of stock product.</t>
  </si>
  <si>
    <t>2025-09-01</t>
  </si>
  <si>
    <t>January - June 2025</t>
  </si>
  <si>
    <t>scan_cfigueroar_2025-10-03-11-03-44_20251003125824.pdf</t>
  </si>
  <si>
    <t>US FOODS - Data anaylsis for Jan - Jun rebate.pdf</t>
  </si>
  <si>
    <t>US Foods rebate 09.01.2025.pdf</t>
  </si>
  <si>
    <t>Premier Cash Disbursement for MONTEFIORE MEDICINE ACADEMIC HEALTH SYSTEM, INC. for the period Apr-Jun25</t>
  </si>
  <si>
    <t>2025-09-30</t>
  </si>
  <si>
    <t>EFT Reference code: EFT-01192081_x000D_
Fee payment of $2,051,098.90 for FY 2025 Apr-June</t>
  </si>
  <si>
    <t>MONTEFIORE MEDICINE ACADEMIC HEALTH SYSTEM INC. 759714 - 2Q25.xlsx</t>
  </si>
  <si>
    <t>Premier Cash Disbursement_20251002133609</t>
  </si>
  <si>
    <t>Pascal rebate. If 11-13 units are purchased, MHS is rebated $2700 per unit.</t>
  </si>
  <si>
    <t>1284692</t>
  </si>
  <si>
    <t>Edwards Pascal Credit Memo 2024Q4.pdf</t>
  </si>
  <si>
    <t>Edwards Pascal Rebate Breakdown 2024Q4.xlsx</t>
  </si>
  <si>
    <t>Edwards Pascal Rebate Letter 2024Q4.pdf</t>
  </si>
  <si>
    <t>Pascal rebate. If 5-7 units are purchased, MHS is rebated $1900 per unit.</t>
  </si>
  <si>
    <t>2025-05-01</t>
  </si>
  <si>
    <t>527709</t>
  </si>
  <si>
    <t>Edwards Pascal 2025Q1 Rebate Breakdown.xlsx</t>
  </si>
  <si>
    <t>Edwards Pascal 2025Q1 Rebate Letter ACH.pdf</t>
  </si>
  <si>
    <t>Edwards Pascal ACH Confirmation.png</t>
  </si>
  <si>
    <t>Edwards Pascal Rebate Terms.pdf</t>
  </si>
  <si>
    <t>Pascal rebate. If 11-13 units are purchased, MHS is rebated $2700 for each unit.</t>
  </si>
  <si>
    <t>560247</t>
  </si>
  <si>
    <t>Edwards Pascal 2025Q2 Rebate Letter.pdf</t>
  </si>
  <si>
    <t>Edwards Pascal Rebate Breakdown 2025Q2.xlsx</t>
  </si>
  <si>
    <t>If a bulk purchase of $172,500 is made, MHS is rebated $2500.</t>
  </si>
  <si>
    <t>1800131915</t>
  </si>
  <si>
    <t>Medtronic Structural Heart Bulk Rebate 8.22.25.xlsx</t>
  </si>
  <si>
    <t>Medtronic Structural Heart Bulk Rebate Notification 8.22.25.pdf</t>
  </si>
  <si>
    <t>Medtronic Structural Heart Credit Memo Bulk 8.22.25.pdf</t>
  </si>
  <si>
    <t>PFA rebate, MHS is rebated $1500 per unit if at least 30 units are purchased.</t>
  </si>
  <si>
    <t>L-MEDTRONIC-CRYOCATH-29-SEP-16</t>
  </si>
  <si>
    <t>Medtronic CryoCath LP</t>
  </si>
  <si>
    <t>2025-08-29</t>
  </si>
  <si>
    <t>1800129038</t>
  </si>
  <si>
    <t>Medtronic PFA Credit Notification 2025Q2.pdf</t>
  </si>
  <si>
    <t>Medtronic PFA Rebate Breakdown 2025Q2.xlsx</t>
  </si>
  <si>
    <t>Medtronic PFA Rebate Credit Memo 2025Q2.pdf</t>
  </si>
  <si>
    <t>If at least 30 units are purchased in a quarter, MHS is rebated $5000 per unit.</t>
  </si>
  <si>
    <t>2025-09-15</t>
  </si>
  <si>
    <t>1800113526</t>
  </si>
  <si>
    <t>Medtronic TAVR 2025Q2 Rebate Breakdown.xlsx</t>
  </si>
  <si>
    <t>Medtronic TAVR MMC 2025Q2 Rebate Credit Memo.pdf</t>
  </si>
  <si>
    <t>Medtronic TAVR Rebate Terms.pdf</t>
  </si>
  <si>
    <t>Medtronic TAVR WPH 2025Q2 Credit Memo.pdf</t>
  </si>
  <si>
    <t xml:space="preserve">5% Wrap Rebate paid out on  $11,401,282 in ETE spend. _x000D_
</t>
  </si>
  <si>
    <t>1001316</t>
  </si>
  <si>
    <t>PerioperativeAndRelatedProducts</t>
  </si>
  <si>
    <t>2025-10-09</t>
  </si>
  <si>
    <t>CC#7507-6</t>
  </si>
  <si>
    <t>Backup Summary CC7507-6 3.15.24-3.14.25.xlsx</t>
  </si>
  <si>
    <t>Medtronic Wrap Rebate Backup Summary CC7507-6 3.15.24-3.14.25.xlsx</t>
  </si>
  <si>
    <t>Molnlycke Loyalty Rebate from Sept2023-August2024 time-frame_x000D_
ACH # 021000021827553; ACH Date: 9/30/2025</t>
  </si>
  <si>
    <t>1023480</t>
  </si>
  <si>
    <t>Molnlycke</t>
  </si>
  <si>
    <t>Molnlycke  Loyalty Rebate Sept2023-Aug2024.xlsx</t>
  </si>
  <si>
    <t>Watchman rebate 1 and 2 combined. If at least 32 bundles are purchased, MHS is rebated 2k per bundle. Also, if at least 900k is spent in a quarter, MHS is rebated an additional $2,500 per bundle. Paid via ACH for both MMC and WPH.</t>
  </si>
  <si>
    <t>2025-10-31</t>
  </si>
  <si>
    <t>2008910771</t>
  </si>
  <si>
    <t>BSCI Watchman Rebate 2025Q3 Letter and Breakdown.pdf</t>
  </si>
  <si>
    <t>Watchman Rebate ACH Doc Number 2025Q3.png</t>
  </si>
  <si>
    <t>If MHS has at least 60% MS, then MHS will be rebated $25 per unit.</t>
  </si>
  <si>
    <t>2025-10-10</t>
  </si>
  <si>
    <t>1800137015</t>
  </si>
  <si>
    <t>Medtronic DES 2025Q2 Rebate Breakdown 11.4.25.xlsx</t>
  </si>
  <si>
    <t>Medtronic DES 2025Q2 St. Lukes Credit Memo.pdf</t>
  </si>
  <si>
    <t>Medtronic DES 2025Q2 WPH Credit Memo.pdf</t>
  </si>
  <si>
    <t>Medtronic DES MMC Credit Memo.pdf</t>
  </si>
  <si>
    <t xml:space="preserve">Volume rebate Pylarify </t>
  </si>
  <si>
    <t>Radiology</t>
  </si>
  <si>
    <t>2025-10-29</t>
  </si>
  <si>
    <t>2890775336TC</t>
  </si>
  <si>
    <t>10.31.2025 - Montefiore Rebate Summary 10-31-25.xlsx</t>
  </si>
  <si>
    <t xml:space="preserve">ThirdWave collect rebates on selected inpatient pharmacy drugs utilization. </t>
  </si>
  <si>
    <t>ThirdWave</t>
  </si>
  <si>
    <t>2025-10-20</t>
  </si>
  <si>
    <t>2048453304</t>
  </si>
  <si>
    <t>ThirdWave - 10.2025 Remittance .xlsx</t>
  </si>
  <si>
    <t xml:space="preserve">If at least 60 catheters are purchased in a quarter, MMC is rebated $2k each catheter. </t>
  </si>
  <si>
    <t>2025-10-28</t>
  </si>
  <si>
    <t>709799697</t>
  </si>
  <si>
    <t>BSCI Farapulse Rebate MMC 2025Q3 11.5.25.pdf</t>
  </si>
  <si>
    <t>Specialty drugs rebate.</t>
  </si>
  <si>
    <t>2025-10-14</t>
  </si>
  <si>
    <t>2025 - Q3 - SPD rebate saving - .xlsx</t>
  </si>
  <si>
    <t>Manufacturer Volume rebate</t>
  </si>
  <si>
    <t>PP-DI-2168</t>
  </si>
  <si>
    <t>US Food Service</t>
  </si>
  <si>
    <t>2025-11-12</t>
  </si>
  <si>
    <t>9503983</t>
  </si>
  <si>
    <t>Nov 12 rebate - US Foods.jpg</t>
  </si>
  <si>
    <t>Premier manufacture contracts rebate</t>
  </si>
  <si>
    <t>2025-11-19</t>
  </si>
  <si>
    <t>Q 3 2025 Premier-  Rebates Paid  .xlsx</t>
  </si>
  <si>
    <t xml:space="preserve">Cardinal source generic </t>
  </si>
  <si>
    <t>2025 Q3 generic source saving.xlsx</t>
  </si>
  <si>
    <t xml:space="preserve">Calculation Period:    06-01-2025 - 08-30-2025_x000D_
_x000D_
Dividends Eligible Spend:      $ 25,275,383.51_x000D_
Qualified Rebate:       0.40%_x000D_
Rebate Payment:   $ 101,101.53_x000D_
_x000D_
Non Standard Eligible Spend:      $ 13,477,629.50_x000D_
Qualified Rebate:       0.15%_x000D_
Rebate Payment:  $ 20,216.44_x000D_
</t>
  </si>
  <si>
    <t>2025-10-22</t>
  </si>
  <si>
    <t>Paymode-X Dividends Payments - Montefiore Health System, Inc.</t>
  </si>
  <si>
    <t>RE Paymode-X Dividends Payments - Montefiore Health System Inc..msg</t>
  </si>
  <si>
    <t>0003455401</t>
  </si>
  <si>
    <t>Biosense Webster EP Tip ACH Info 2025Q2.png</t>
  </si>
  <si>
    <t>Biosense Webster EP TIP Breakdown Montefiore Health 2025Q2.xlsx</t>
  </si>
  <si>
    <t>This was a rebate from a bulk purchase MMC did in August, purchasing 50 Octaray catheters, 50 Carto 3 patches, and 50 Soundstar crystals; in exchange for a rebate of 70k.</t>
  </si>
  <si>
    <t>1023368</t>
  </si>
  <si>
    <t>Biosense Webster</t>
  </si>
  <si>
    <t>2025-11-20</t>
  </si>
  <si>
    <t>1500007466</t>
  </si>
  <si>
    <t>Biosense PFA Rebate ACH.png</t>
  </si>
  <si>
    <t>Biosense Webster_Rebate Agreement FullyExecuted.pdf</t>
  </si>
  <si>
    <t>BWI MMC PFA Rebate Excel 12.10.25.xlsx</t>
  </si>
  <si>
    <t>BWI MMC PFA Rebate Letter.pdf</t>
  </si>
  <si>
    <t>If at least 60 Farawave catheters are purchased in a quarter, WPH is rebated 2k per catheter.</t>
  </si>
  <si>
    <t>2025-11-24</t>
  </si>
  <si>
    <t>2008935572</t>
  </si>
  <si>
    <t>BSCI WPH PFA Rebate Letter and Breakdown 2025Q3.pdf</t>
  </si>
  <si>
    <t>If MHS as a whole purchases between 75 or 84 units, each facility is rebated $3,500 for each unit they purchased individually. There is also a supplemental rebate that is earned if 4 quarters of rebates are earned in a row.</t>
  </si>
  <si>
    <t>2025-11-10</t>
  </si>
  <si>
    <t>1310615 and 1310797</t>
  </si>
  <si>
    <t>Edwards TAVR WPH 2025Q3 Rebate.pdf</t>
  </si>
  <si>
    <t>Edwards TAVR WPH 2025Q3 Supplemental Rebate.pdf</t>
  </si>
  <si>
    <t>If MHS purchases between 75 to 84 units, each facility is rebated $3,500 per unit for their individual purchases in a quarter. There is also a supplemental rebate earned if 4 quarters of rebates are earned in a row valued at $8,500</t>
  </si>
  <si>
    <t>2025-11-14</t>
  </si>
  <si>
    <t>599609</t>
  </si>
  <si>
    <t>Edwards MMC TAVR 2025Q3 Rebate.pdf</t>
  </si>
  <si>
    <t>Edwards MMC TAVR Supplementary Rebate 2025Q3.pdf</t>
  </si>
  <si>
    <t>Selected inpatients medications utilization rebate managed by ThirdWave.</t>
  </si>
  <si>
    <t>2025-11-25</t>
  </si>
  <si>
    <t>1994106901</t>
  </si>
  <si>
    <t>ThirdWave - 11.2025 Remittance .xlsx</t>
  </si>
  <si>
    <t>2025-10-30</t>
  </si>
  <si>
    <t>66610</t>
  </si>
  <si>
    <t>Montefiore Fastaff Contract 2025 4.24.25.docx</t>
  </si>
  <si>
    <t>Rebate thru Oct 2025.xlsx</t>
  </si>
  <si>
    <t>2025-11-05</t>
  </si>
  <si>
    <t>66611</t>
  </si>
  <si>
    <t>66612</t>
  </si>
  <si>
    <t>1000137</t>
  </si>
  <si>
    <t>Medical Solutions LLC</t>
  </si>
  <si>
    <t>2025-12-11</t>
  </si>
  <si>
    <t>00020151</t>
  </si>
  <si>
    <t>Medical Solutions Fully Executed Contract 7.9.25.pdf</t>
  </si>
  <si>
    <t>thumbnail_image003.png</t>
  </si>
  <si>
    <t xml:space="preserve">10% new business rebate with Medtronic paid out on $62,397 is sales growth. </t>
  </si>
  <si>
    <t>0008211</t>
  </si>
  <si>
    <t>Medtronic ETE Pricing MONTEFIORE- ENDO ENERGY AGREEMENT -- See attachement A enclosed.pdf</t>
  </si>
  <si>
    <t>Medtronic New Business Rebate Payment Confirmation.pdf</t>
  </si>
  <si>
    <t>Summary of MONTEFIORE HLTH ENDOEBD 07.15.2025 to 07.14.20258211_F.xlsx</t>
  </si>
  <si>
    <t>If Medtronic has at least 60% market share, MHS is rebated $25 per unit.</t>
  </si>
  <si>
    <t>2025-12-19</t>
  </si>
  <si>
    <t>1800118326</t>
  </si>
  <si>
    <t>Medtronic 2025Q3 DES Rebate Breakdown Analysis.xlsx</t>
  </si>
  <si>
    <t>Medtronic DES 2025Q3 Credit Memo Rebate.pdf</t>
  </si>
  <si>
    <t>Administrative Fee Shareback for the Jul-Sep25</t>
  </si>
  <si>
    <t>2025-12-30</t>
  </si>
  <si>
    <t>EFT-01233030</t>
  </si>
  <si>
    <t>MONTEFIORE MEDICINE ACADEMIC HEALTH SYSTEM INC. 759714  Jul.Sep25.xlsx</t>
  </si>
  <si>
    <t>Inpatient Medications Rebate</t>
  </si>
  <si>
    <t>2025-12-23</t>
  </si>
  <si>
    <t>480251703</t>
  </si>
  <si>
    <t>ThirdWave - 12.2025 Remittance .xlsx</t>
  </si>
  <si>
    <t>If MHS purchases at least 26 units, MHS will be rebated $3,500 for each unit.</t>
  </si>
  <si>
    <t>2026-01-16</t>
  </si>
  <si>
    <t>1800137474</t>
  </si>
  <si>
    <t>Medtronic Structural Heart MMC Credit Memo 2025Q3 1.20.26.pdf</t>
  </si>
  <si>
    <t>Medtronic Structural Heart Rebate 2025Q3 Analysis and Breakdown 1.20.26.xlsx</t>
  </si>
  <si>
    <t>Medtronic Structural Heart WPH Credit Memo 2025Q3 1.20.26.pdf</t>
  </si>
  <si>
    <t>If at least 1.25M is spent in a quarter, MHS is rebated 8% back.</t>
  </si>
  <si>
    <t>1023295</t>
  </si>
  <si>
    <t>2025-10-06</t>
  </si>
  <si>
    <t>5500271004, 5500271002, 5500271003</t>
  </si>
  <si>
    <t>5500271002.pdf</t>
  </si>
  <si>
    <t>5500271003.pdf</t>
  </si>
  <si>
    <t>5500271004.pdf</t>
  </si>
  <si>
    <t>Biotronik CRM Rebate Info 1.20.26.png</t>
  </si>
  <si>
    <t>Rebate on Medline private label purchases</t>
  </si>
  <si>
    <t>2026-01-21</t>
  </si>
  <si>
    <t>14513068</t>
  </si>
  <si>
    <t>Copy of Montefiore Apr-Oct25.xlsx</t>
  </si>
  <si>
    <t>Medline Payment Advice 01_21_2026 - Acc 2069398.PDF</t>
  </si>
  <si>
    <t>Generic source rebate .</t>
  </si>
  <si>
    <t>1001295</t>
  </si>
  <si>
    <t>2026-01-09</t>
  </si>
  <si>
    <t>P000000028</t>
  </si>
  <si>
    <t>Source  Q4 2025 ACH  and facility breakdown.xlsx</t>
  </si>
  <si>
    <t>Specialty Drugs Rebate</t>
  </si>
  <si>
    <t>2026-01-15</t>
  </si>
  <si>
    <t>SPD Q4 2025 credit memo and by facility.xlsx</t>
  </si>
  <si>
    <t>Volume annual rebate</t>
  </si>
  <si>
    <t>Volume 2025 Annual EFT and facility breakdown  Detail.XLSX</t>
  </si>
  <si>
    <t>Pylarify</t>
  </si>
  <si>
    <t>2026-01-22</t>
  </si>
  <si>
    <t>0220154967TC</t>
  </si>
  <si>
    <t>lantheus -Montefiore Rebate Summary 1-22.25.xlsx</t>
  </si>
  <si>
    <t>Inpatient selected manufactures third party rebates.</t>
  </si>
  <si>
    <t>2026-01-30</t>
  </si>
  <si>
    <t>1202037979</t>
  </si>
  <si>
    <t>ThirdWave - 1.2026 Remittance .xlsx</t>
  </si>
  <si>
    <t>00021645</t>
  </si>
  <si>
    <t>2025 Q4 Montefiore Rebate Report.xlsx</t>
  </si>
  <si>
    <t>7c6f5eae-e100-45bf-9c73-d62f2a665f57.png</t>
  </si>
  <si>
    <t>2026-01-12</t>
  </si>
  <si>
    <t>66668</t>
  </si>
  <si>
    <t>Fastaff Q4 2025 Rebates Jan 2026.xlsx</t>
  </si>
  <si>
    <t>2016-01-12</t>
  </si>
  <si>
    <t>66669</t>
  </si>
  <si>
    <t>66670</t>
  </si>
  <si>
    <t>MHS is rebated $100 per catheter sent to Biosense Webster for reprocessing. This is for Q2 of 2025.</t>
  </si>
  <si>
    <t>1500003962</t>
  </si>
  <si>
    <t>BW 2025Q2 Buyback ACH .png</t>
  </si>
  <si>
    <t>BWI Buyback Montefiore Medical Center 2Q25_CUST.xlsx</t>
  </si>
  <si>
    <t>Biosurgery annual rebate earning 3% of all sales.</t>
  </si>
  <si>
    <t>PP-OR-2577</t>
  </si>
  <si>
    <t>Johnson &amp; Johnson Health Care Systems Inc</t>
  </si>
  <si>
    <t>434442-0002-01</t>
  </si>
  <si>
    <t>JnJ Ethicon Biosurgery Rebate 10.15.24 to 10.14.25.xlsx</t>
  </si>
  <si>
    <t>Molnlycke Corporate Rebate from 9/1/2024 - 8/31/2025 Rebate Period</t>
  </si>
  <si>
    <t>2026-02-13</t>
  </si>
  <si>
    <t>ACH # 281120-0001-01_x000D_
ACH payment date: 2/13/26</t>
  </si>
  <si>
    <t>Molnlycke Loyalty Rebate Sept2024-Aug2025.xlsx</t>
  </si>
  <si>
    <t>Volume rebate for vending machine sales</t>
  </si>
  <si>
    <t>1004037</t>
  </si>
  <si>
    <t>NonClinicalGoods</t>
  </si>
  <si>
    <t>2026-02-12</t>
  </si>
  <si>
    <t>OW00006615934745</t>
  </si>
  <si>
    <t>MHS confirmation - Superior vending - rebate wire transfer 02.18.26.pdf</t>
  </si>
  <si>
    <t>Vendor confirmation Superior vending - rebate wire transfer 02.18.26.pdf</t>
  </si>
  <si>
    <t>Premier quarterly rebates.</t>
  </si>
  <si>
    <t>Q 4 2025 Premier - Rebates Paid.xlsx</t>
  </si>
  <si>
    <t>BD Strategic Collaboration Agreement (SCA) Rebate for July2025-Dec2025 period</t>
  </si>
  <si>
    <t>2026-02-20</t>
  </si>
  <si>
    <t>ACH # MPR0220265100274; ACH Transmission Date: 2/20/2026</t>
  </si>
  <si>
    <t>BD SCA Rebate July2025-Dec2025.xlsx</t>
  </si>
  <si>
    <t>MHS is rebated $100 for each catheter sent to vendor for reprocessing. This is for 2025Q3.</t>
  </si>
  <si>
    <t>2025-08-12</t>
  </si>
  <si>
    <t>0003511939</t>
  </si>
  <si>
    <t>BWI Buyback 2025Q3 ACH.pdf</t>
  </si>
  <si>
    <t>BWI Buyback 2025Q3 Rebate Breakdown.xlsx</t>
  </si>
  <si>
    <t>If 11-13 Pascal units are purchased in a quarter, MHS is rebated $2700 per unit.</t>
  </si>
  <si>
    <t>2025-12-31</t>
  </si>
  <si>
    <t>000000000630466</t>
  </si>
  <si>
    <t>Edwards Pascal 2025Q4 Rebate Breakdown.xlsx</t>
  </si>
  <si>
    <t>Edwards Pascal 2025Q4 Rebate Letter.pdf</t>
  </si>
  <si>
    <t>Edwards Pascal ACH 2025Q4.pdf</t>
  </si>
  <si>
    <t>If MHS purchases 65-74 TAVR units, each facility is rebated $3k for each unit they purchased individually.</t>
  </si>
  <si>
    <t>000000000633001</t>
  </si>
  <si>
    <t>Edwards TAVR 2025Q4 ACH MMC.pdf</t>
  </si>
  <si>
    <t>Edwards TAVR 2025Q4 MMC Rebate Letter and Breakdown.pdf</t>
  </si>
  <si>
    <t>If MHS purchases 65-74 TAVR units in a quarter, each facility is rebated $3k for each of their individual purchases.</t>
  </si>
  <si>
    <t>2026-02-06</t>
  </si>
  <si>
    <t>1317423</t>
  </si>
  <si>
    <t>Edwards TAVR 2025Q4 WPH Rebate Letter Breakdown and Credit Memo.pdf</t>
  </si>
  <si>
    <t>Medtronic MICRAs were purchased via bulk buy in 2025Q3, which entitles MHS to a 4.61% rebate tied to the spend on these MICRAs.</t>
  </si>
  <si>
    <t>1023358</t>
  </si>
  <si>
    <t>2026-02-09</t>
  </si>
  <si>
    <t>1800137477 and 1800137479</t>
  </si>
  <si>
    <t>Medtronic CRM MICRA Rebate Breakdown Einstein 2.9.26.xlsx</t>
  </si>
  <si>
    <t>Medtronic CRM MICRA Rebate Breakdown Moses 2.9.26.xlsx</t>
  </si>
  <si>
    <t>Medtronic CRM MICRA Rebate Credit Memo Moses.pdf</t>
  </si>
  <si>
    <t>Medtronic MICRA Rebate Credit Memo Einstein 2.9.26.pdf</t>
  </si>
  <si>
    <t>If MHS purchases at least 30 CBT units, MHS is rebated $5k per unit. Part of this rebate was already paid in a separate credit memo (also booked savings tracker), the remaining portion is being booked here.</t>
  </si>
  <si>
    <t>2026-01-27</t>
  </si>
  <si>
    <t>1800143482</t>
  </si>
  <si>
    <t>Medtronic TAVR 2025Q3 Credit Memo.pdf</t>
  </si>
  <si>
    <t>Medtronic TAVR 2025Q3 Rebate Breakdown.xlsx</t>
  </si>
  <si>
    <t>Medtronic TAVR 2025Q3 Rebate Letter.pdf</t>
  </si>
  <si>
    <t>000350061</t>
  </si>
  <si>
    <t>BWI EP Tip 2025Q3 Rebate Letter and Breakdown.xlsx</t>
  </si>
  <si>
    <t>BWI Platinum Tip 2025Q3 Rebate ACH.png</t>
  </si>
  <si>
    <t>2025-12-18</t>
  </si>
  <si>
    <t>4709</t>
  </si>
  <si>
    <t>Winston Amendment to 2017 Montefiore Agreement w Exhibit - Fully Executed.pdf</t>
  </si>
  <si>
    <t>Winston Q3 2025 Rebate.png</t>
  </si>
  <si>
    <t>Winston Rebates 2024 - 2025 3.4.26.xlsx</t>
  </si>
  <si>
    <t xml:space="preserve">Running RFP to compare and standardize rates. Consolidate vendors under dual primary vendor strategy. Provide an automated platform for contingency workforce management. Stabilization of YoY rate increases._x000D_
</t>
  </si>
  <si>
    <t>2026-01-28</t>
  </si>
  <si>
    <t>309940841</t>
  </si>
  <si>
    <t>Winston Q4 2025 Rebate.pdf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</si>
</sst>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u/>
      <sz val="11"/>
      <color rgb="FF0000FF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9C5700"/>
      <name val="Aptos Narrow"/>
      <family val="2"/>
      <scheme val="minor"/>
    </font>
    <font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4" fontId="1" fillId="0" borderId="0"/>
    <xf numFmtId="0" fontId="2" fillId="0" borderId="1"/>
    <xf numFmtId="0" fontId="3" fillId="0" borderId="0"/>
    <xf numFmtId="0" fontId="1" fillId="6" borderId="5" applyNumberFormat="0" applyFont="0" applyAlignment="0" applyProtection="0"/>
    <xf numFmtId="0" fontId="10" fillId="7" borderId="0" applyNumberFormat="0" applyBorder="0" applyAlignment="0" applyProtection="0"/>
    <xf numFmtId="0" fontId="11" fillId="8" borderId="6" applyNumberFormat="0" applyAlignment="0" applyProtection="0"/>
  </cellStyleXfs>
  <cellXfs count="30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14" fontId="2" fillId="0" borderId="1" xfId="2" applyNumberFormat="1"/>
    <xf numFmtId="44" fontId="0" fillId="2" borderId="0" xfId="1" applyFont="1" applyFill="1"/>
    <xf numFmtId="44" fontId="0" fillId="3" borderId="0" xfId="1" applyFont="1" applyFill="1"/>
    <xf numFmtId="0" fontId="0" fillId="3" borderId="0" xfId="1" applyNumberFormat="1" applyFont="1" applyFill="1"/>
    <xf numFmtId="44" fontId="3" fillId="0" borderId="0" xfId="3" applyNumberFormat="1"/>
    <xf numFmtId="0" fontId="3" fillId="0" borderId="0" xfId="3"/>
    <xf numFmtId="6" fontId="0" fillId="0" borderId="0" xfId="0" applyNumberFormat="1"/>
    <xf numFmtId="164" fontId="0" fillId="0" borderId="0" xfId="1" applyNumberFormat="1" applyFont="1"/>
    <xf numFmtId="0" fontId="4" fillId="4" borderId="2" xfId="0" applyFont="1" applyFill="1" applyBorder="1"/>
    <xf numFmtId="0" fontId="4" fillId="4" borderId="3" xfId="0" applyFont="1" applyFill="1" applyBorder="1"/>
    <xf numFmtId="44" fontId="5" fillId="0" borderId="4" xfId="1" applyFont="1" applyBorder="1" applyAlignment="1">
      <alignment horizontal="center" vertical="top"/>
    </xf>
    <xf numFmtId="44" fontId="4" fillId="2" borderId="3" xfId="1" applyFont="1" applyFill="1" applyBorder="1"/>
    <xf numFmtId="44" fontId="4" fillId="3" borderId="3" xfId="1" applyFont="1" applyFill="1" applyBorder="1"/>
    <xf numFmtId="0" fontId="6" fillId="0" borderId="0" xfId="0" applyFont="1"/>
    <xf numFmtId="44" fontId="1" fillId="0" borderId="0" xfId="1"/>
    <xf numFmtId="44" fontId="1" fillId="5" borderId="0" xfId="1" applyFill="1"/>
    <xf numFmtId="8" fontId="0" fillId="0" borderId="0" xfId="0" applyNumberFormat="1"/>
    <xf numFmtId="0" fontId="7" fillId="0" borderId="0" xfId="0" applyFont="1"/>
    <xf numFmtId="0" fontId="9" fillId="0" borderId="0" xfId="0" applyFont="1"/>
    <xf numFmtId="44" fontId="8" fillId="6" borderId="5" xfId="4" applyNumberFormat="1" applyFont="1"/>
    <xf numFmtId="0" fontId="12" fillId="0" borderId="0" xfId="0" applyFont="1"/>
    <xf numFmtId="44" fontId="13" fillId="7" borderId="0" xfId="5" applyNumberFormat="1" applyFont="1"/>
    <xf numFmtId="44" fontId="11" fillId="8" borderId="6" xfId="6" applyNumberFormat="1"/>
    <xf numFmtId="44" fontId="10" fillId="7" borderId="6" xfId="5" applyNumberFormat="1" applyBorder="1"/>
    <xf numFmtId="0" fontId="14" fillId="0" borderId="0" xfId="0" applyFont="1"/>
    <xf numFmtId="44" fontId="10" fillId="7" borderId="0" xfId="5" applyNumberFormat="1"/>
  </cellXfs>
  <cellStyles count="7">
    <cellStyle name="Calculation" xfId="6" builtinId="22"/>
    <cellStyle name="Currency" xfId="1" builtinId="4"/>
    <cellStyle name="Heading 3" xfId="2" builtinId="18"/>
    <cellStyle name="Hyperlink" xfId="3" builtinId="8"/>
    <cellStyle name="Neutral" xfId="5" builtinId="28"/>
    <cellStyle name="Normal" xfId="0" builtinId="0"/>
    <cellStyle name="Note" xfId="4" builtinId="10"/>
  </cellStyles>
  <dxfs count="1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BBAE06-130D-4C90-8060-9CDF8F856ED3}" name="Table13" displayName="Table13" ref="A1:AB29" totalsRowShown="0" headerRowDxfId="168" dataDxfId="167">
  <autoFilter ref="A1:AB29" xr:uid="{8DBBAE06-130D-4C90-8060-9CDF8F856ED3}"/>
  <tableColumns count="28">
    <tableColumn id="1" xr3:uid="{7A3BBC24-3ABD-4BB2-9EEB-DDDBF1322E8F}" name="InitiativeID" dataDxfId="166"/>
    <tableColumn id="2" xr3:uid="{57A7720E-6754-44ED-A14D-5500856445E9}" name="Initiative_Desc" dataDxfId="165"/>
    <tableColumn id="3" xr3:uid="{E22C5011-5AB3-46F8-9A2C-4A765C13447A}" name="Rebates_Type" dataDxfId="164"/>
    <tableColumn id="4" xr3:uid="{D114D0A5-B9E4-47E6-B6F8-EF5AE215F9C9}" name="Contract_Number" dataDxfId="163"/>
    <tableColumn id="5" xr3:uid="{041DC625-CCE4-4193-8328-915E6B6161F7}" name="Contract_Category" dataDxfId="162"/>
    <tableColumn id="6" xr3:uid="{3FC855D2-9104-4894-98C3-16700DFD5BA6}" name="Contract_Source" dataDxfId="161"/>
    <tableColumn id="7" xr3:uid="{CD6BFBEA-9C83-4AF9-8780-157A2128386A}" name="Vendor_Name" dataDxfId="160"/>
    <tableColumn id="8" xr3:uid="{89D3C641-237B-4B3A-9B0D-56C6E33393BC}" name="Rebate_Check_Date" dataDxfId="159"/>
    <tableColumn id="9" xr3:uid="{2CA0C4C0-A377-4F5E-AA94-A8275972409E}" name="Rebate_Payment_Type" dataDxfId="158"/>
    <tableColumn id="10" xr3:uid="{B3080E10-9495-4589-AE4C-32685638B95C}" name="Check_Number" dataDxfId="157"/>
    <tableColumn id="11" xr3:uid="{C0D74AD7-5E58-465B-B3D3-C4B8DB73CA4F}" name="Rebate_amount" dataCellStyle="Neutral"/>
    <tableColumn id="12" xr3:uid="{3D9B6126-0ED7-4CA8-9F86-93E3A2BBADE5}" name="MMC_ALLOC" dataCellStyle="Calculation"/>
    <tableColumn id="13" xr3:uid="{17F0C462-38A0-40B1-B2FC-C7CEEB71AA16}" name="BURKE_ALLOC" dataCellStyle="Calculation"/>
    <tableColumn id="14" xr3:uid="{58E20066-9D20-4E88-A9A9-48A2AA21448E}" name="AECOM_ALLOC" dataCellStyle="Calculation"/>
    <tableColumn id="15" xr3:uid="{8F0D2EFA-4E5E-4363-89F6-2193420EE563}" name="MMVO_ALLOC" dataCellStyle="Calculation"/>
    <tableColumn id="16" xr3:uid="{F584A054-7E25-4145-BD76-6000255B33EB}" name="MSSO_ALLOC" dataCellStyle="Calculation"/>
    <tableColumn id="17" xr3:uid="{41D9D0AD-D60E-4A54-97A9-D80A09539166}" name="NYACK_ALLOC" dataCellStyle="Calculation"/>
    <tableColumn id="18" xr3:uid="{11048AA3-1AAF-4F71-A06F-7F7BFFCBCBC7}" name="SLCH_ALLOC" dataCellStyle="Calculation"/>
    <tableColumn id="19" xr3:uid="{100C8041-0262-4D1F-9101-51FA49A7DE2D}" name="WPH_ALLOC" dataCellStyle="Calculation"/>
    <tableColumn id="28" xr3:uid="{8E64CBE5-D439-4A36-A88A-D8E97D86C9D2}" name="ParentFolder" dataCellStyle="Normal"/>
    <tableColumn id="20" xr3:uid="{90045389-0245-4CB1-A5D2-701F00B6E4E9}" name="FILE_NAME_1" dataDxfId="156"/>
    <tableColumn id="24" xr3:uid="{F1886FB3-D461-4A02-A0A4-292B49F82A4D}" name="FILE_PATH_1" dataDxfId="155" dataCellStyle="Calculation">
      <calculatedColumnFormula>HYPERLINK(_xlfn.CONCAT(Table13[[#This Row],[ParentFolder]],"\",Table13[[#This Row],[FILE_NAME_1]]),Table13[[#This Row],[FILE_NAME_1]])</calculatedColumnFormula>
    </tableColumn>
    <tableColumn id="21" xr3:uid="{6DD71EEF-A286-4580-BA84-F5A5F85BB6E6}" name="FILE_NAME_2" dataDxfId="154"/>
    <tableColumn id="25" xr3:uid="{E763CBE6-125E-45F6-9DE4-F70E259DDDA5}" name="FILE_PATH_2" dataDxfId="153">
      <calculatedColumnFormula>HYPERLINK(_xlfn.CONCAT(Table13[[#This Row],[ParentFolder]],"\",Table13[[#This Row],[FILE_NAME_2]]),Table13[[#This Row],[FILE_NAME_2]])</calculatedColumnFormula>
    </tableColumn>
    <tableColumn id="22" xr3:uid="{E0C8CCC6-578D-426A-B1C0-5F3679DB16DD}" name="FILE_NAME_3" dataDxfId="152"/>
    <tableColumn id="26" xr3:uid="{62F1EFB5-BEBE-40D6-AF09-A2BA7A826A78}" name="FILE_PATH_3" dataDxfId="151">
      <calculatedColumnFormula>HYPERLINK(_xlfn.CONCAT(Table13[[#This Row],[ParentFolder]],"\",Table13[[#This Row],[FILE_NAME_3]]),Table13[[#This Row],[FILE_NAME_3]])</calculatedColumnFormula>
    </tableColumn>
    <tableColumn id="23" xr3:uid="{8DC717EE-81FE-4854-AF67-9885BE43801F}" name="FILE_NAME_4" dataDxfId="150"/>
    <tableColumn id="27" xr3:uid="{29C8BF40-F9C7-4F6B-A3DB-EB970B993D37}" name="FILE_PATH_4" dataDxfId="149">
      <calculatedColumnFormula>HYPERLINK(_xlfn.CONCAT(Table13[[#This Row],[ParentFolder]],"\",Table13[[#This Row],[FILE_NAME_4]]),Table13[[#This Row],[FILE_NAME_4]])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A7345E-D179-46F5-B626-845809C6E6C3}" name="Table12" displayName="Table12" ref="A1:AB14" totalsRowShown="0" headerRowDxfId="148" dataDxfId="147">
  <autoFilter ref="A1:AB14" xr:uid="{B3A7345E-D179-46F5-B626-845809C6E6C3}"/>
  <tableColumns count="28">
    <tableColumn id="1" xr3:uid="{0FBACC61-AD20-44FD-A893-112B0D88FB6A}" name="InitiativeID" dataDxfId="146"/>
    <tableColumn id="2" xr3:uid="{A1C00B44-5C1D-46C2-A5C6-234D8EF338D6}" name="Initiative_Desc" dataDxfId="145"/>
    <tableColumn id="3" xr3:uid="{6E848DA5-4ACB-4F5B-93A2-CC861DAF11AB}" name="Rebates_Type" dataDxfId="144"/>
    <tableColumn id="4" xr3:uid="{ACC3D207-A5FE-462D-B8D4-704372E696CE}" name="Contract_Number" dataDxfId="143"/>
    <tableColumn id="5" xr3:uid="{7EF2ABE2-29F8-4C14-A2C3-E3260AEA98F5}" name="Contract_Category" dataDxfId="142"/>
    <tableColumn id="6" xr3:uid="{E3DBD735-4FD5-4454-801B-420AE2BAFF33}" name="Contract_Source" dataDxfId="141"/>
    <tableColumn id="7" xr3:uid="{82E597E0-1729-4FEF-AB5A-30D6DB4C194C}" name="Vendor_Name" dataDxfId="140"/>
    <tableColumn id="8" xr3:uid="{62105E18-75C4-4369-8CFF-A095F7829E7C}" name="Rebate_Check_Date" dataDxfId="139"/>
    <tableColumn id="9" xr3:uid="{3BDF1B59-14E1-49CA-BF1B-D0B55761ACD0}" name="Rebate_Payment_Type" dataDxfId="138"/>
    <tableColumn id="10" xr3:uid="{4ECCFEE3-710A-479D-8C74-206D6A81777C}" name="Check_Number" dataDxfId="137"/>
    <tableColumn id="11" xr3:uid="{5DC3F673-B8FE-4F00-918C-523B51C4D204}" name="Rebate_amount" dataCellStyle="Neutral"/>
    <tableColumn id="12" xr3:uid="{8F8BC549-D9DA-454D-848F-38B66DEF657C}" name="MMC_ALLOC" dataCellStyle="Calculation"/>
    <tableColumn id="13" xr3:uid="{796CFB8B-9C11-4073-8D2F-09272A2556B0}" name="BURKE_ALLOC" dataCellStyle="Calculation"/>
    <tableColumn id="14" xr3:uid="{DC9CCD2A-41E4-4741-AF97-DBF244A66FD6}" name="AECOM_ALLOC" dataCellStyle="Calculation"/>
    <tableColumn id="15" xr3:uid="{8DFD2948-1CD2-4552-B112-D064A54F3B69}" name="MMVO_ALLOC" dataCellStyle="Calculation"/>
    <tableColumn id="16" xr3:uid="{0ED0EA21-F124-484F-B695-67F229761151}" name="MSSO_ALLOC" dataCellStyle="Calculation"/>
    <tableColumn id="17" xr3:uid="{5A1ACBE7-4A59-4EFF-9365-557F94B4BC5F}" name="NYACK_ALLOC" dataCellStyle="Calculation"/>
    <tableColumn id="18" xr3:uid="{A672B5DA-DB44-45C3-836A-F936AFD6438A}" name="SLCH_ALLOC" dataCellStyle="Calculation"/>
    <tableColumn id="19" xr3:uid="{450CD5DA-19A7-47D2-BC19-53B1CC1FBD0C}" name="WPH_ALLOC" dataCellStyle="Calculation"/>
    <tableColumn id="28" xr3:uid="{9231D7C7-EAF0-46DB-AEAD-9DB14DD64EBF}" name="ParentFolder" dataDxfId="136" dataCellStyle="Calculation"/>
    <tableColumn id="20" xr3:uid="{9F0CEC29-6C1C-405B-87B7-81F4A822C528}" name="FILE_NAME_1" dataDxfId="135" dataCellStyle="Currency"/>
    <tableColumn id="24" xr3:uid="{5CB89E0C-BF38-4FE7-AE7C-DB866120109E}" name="FILE_PATH_1" dataDxfId="134" dataCellStyle="Currency">
      <calculatedColumnFormula>HYPERLINK(_xlfn.CONCAT(Table12[[#This Row],[ParentFolder]],"\",Table12[[#This Row],[FILE_NAME_1]]),Table12[[#This Row],[FILE_NAME_1]])</calculatedColumnFormula>
    </tableColumn>
    <tableColumn id="21" xr3:uid="{CBE02F4E-35FD-43FE-8B8F-C04D2A98660A}" name="FILE_NAME_2" dataDxfId="133"/>
    <tableColumn id="25" xr3:uid="{14A3E6E2-A051-4A0C-B1FE-74026E75015A}" name="FILE_PATH_2" dataDxfId="132">
      <calculatedColumnFormula>HYPERLINK(_xlfn.CONCAT(Table12[[#This Row],[ParentFolder]],"\",Table12[[#This Row],[FILE_NAME_2]]),Table12[[#This Row],[FILE_NAME_2]])</calculatedColumnFormula>
    </tableColumn>
    <tableColumn id="22" xr3:uid="{752D734D-F2A6-4752-816A-ABE5383B1091}" name="FILE_NAME_3" dataDxfId="131"/>
    <tableColumn id="26" xr3:uid="{751574AB-13B4-4CF9-98D3-C680BB80A3C3}" name="FILE_PATH_3" dataDxfId="130">
      <calculatedColumnFormula>HYPERLINK(_xlfn.CONCAT(Table12[[#This Row],[ParentFolder]],"\",Table12[[#This Row],[FILE_NAME_3]]),Table12[[#This Row],[FILE_NAME_3]])</calculatedColumnFormula>
    </tableColumn>
    <tableColumn id="23" xr3:uid="{737A3B02-E7A1-4EB9-81BD-4071D38C249B}" name="FILE_NAME_4" dataDxfId="129"/>
    <tableColumn id="27" xr3:uid="{F6BF5F95-C4A1-4419-B5FC-A14853FEE86A}" name="FILE_PATH_4" dataDxfId="128">
      <calculatedColumnFormula>HYPERLINK(_xlfn.CONCAT(Table12[[#This Row],[ParentFolder]],"\",Table12[[#This Row],[FILE_NAME_4]]),Table12[[#This Row],[FILE_NAME_4]])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CBC551-B706-4AE8-ADC8-D697D95D0AC6}" name="Table11" displayName="Table11" ref="A1:AB21" totalsRowShown="0" headerRowDxfId="127" dataDxfId="126">
  <autoFilter ref="A1:AB21" xr:uid="{F0CBC551-B706-4AE8-ADC8-D697D95D0AC6}"/>
  <tableColumns count="28">
    <tableColumn id="1" xr3:uid="{DFD86089-BC60-402F-995E-4B15E5AAB5E0}" name="InitiativeID" dataDxfId="125"/>
    <tableColumn id="2" xr3:uid="{345C70D5-692E-48CB-B388-AB91007900C3}" name="Initiative_Desc" dataDxfId="124"/>
    <tableColumn id="3" xr3:uid="{76D37CC2-CA2C-4726-B003-EDAAC2CDA845}" name="Rebates_Type" dataDxfId="123"/>
    <tableColumn id="4" xr3:uid="{8993C65B-1B44-49A3-BF62-EBD4DC20B7FF}" name="Contract_Number" dataDxfId="122"/>
    <tableColumn id="5" xr3:uid="{420DD88B-0A41-4707-883D-5737200CB1D8}" name="Contract_Category" dataDxfId="121"/>
    <tableColumn id="6" xr3:uid="{2B10AC91-4D9F-44B0-8357-D85A607A10A0}" name="Contract_Source" dataDxfId="120"/>
    <tableColumn id="7" xr3:uid="{E0493D8C-F4F0-4F63-9F0C-66B8514E1081}" name="Vendor_Name" dataDxfId="119"/>
    <tableColumn id="8" xr3:uid="{702FE6B1-434A-475C-BFB3-A55A4D75ECFD}" name="Rebate_Check_Date" dataDxfId="118"/>
    <tableColumn id="9" xr3:uid="{D425CFCB-A0CE-4133-AD12-C00BC0AE4E18}" name="Rebate_Payment_Type" dataDxfId="117"/>
    <tableColumn id="10" xr3:uid="{BA6C587A-2DF5-4601-8A39-AA59BE48EFDA}" name="Check_Number" dataDxfId="116"/>
    <tableColumn id="11" xr3:uid="{DCAA1082-E648-4592-8406-F144B520F302}" name="Rebate_amount" dataDxfId="115" dataCellStyle="Neutral"/>
    <tableColumn id="12" xr3:uid="{153DF3BE-A16A-45B8-B3ED-D898A2291970}" name="MMC_ALLOC" dataCellStyle="Calculation"/>
    <tableColumn id="13" xr3:uid="{5B90F1F4-F020-4B45-AADA-90A2F6FC24F3}" name="BURKE_ALLOC" dataCellStyle="Calculation"/>
    <tableColumn id="14" xr3:uid="{CC45ABD9-4AAF-470D-8AB1-1014D4FEE305}" name="AECOM_ALLOC" dataCellStyle="Calculation"/>
    <tableColumn id="15" xr3:uid="{30D94CFE-982B-4732-8D36-85A0698CA26D}" name="MMVO_ALLOC" dataCellStyle="Calculation"/>
    <tableColumn id="16" xr3:uid="{5538169B-7250-4C09-A3B9-590C6294EC15}" name="MSSO_ALLOC" dataCellStyle="Calculation"/>
    <tableColumn id="17" xr3:uid="{71C4A804-DD05-40E7-8914-DE388B9A48B4}" name="NYACK_ALLOC" dataCellStyle="Calculation"/>
    <tableColumn id="18" xr3:uid="{7865E8B3-FE2A-401C-822E-CEF12EB6562A}" name="SLCH_ALLOC" dataCellStyle="Calculation"/>
    <tableColumn id="19" xr3:uid="{4C926B74-3713-4C6E-8C86-C1D245D11F0D}" name="WPH_ALLOC" dataCellStyle="Calculation"/>
    <tableColumn id="28" xr3:uid="{24A8D9C8-8CD5-47D5-A1C3-91A8D71FF798}" name="ParentFolder" dataCellStyle="Currency"/>
    <tableColumn id="20" xr3:uid="{1A07164A-8ADE-451A-8FF0-4F9106F14CBB}" name="FILE_NAME_1" dataDxfId="114" dataCellStyle="Currency"/>
    <tableColumn id="24" xr3:uid="{0D46D70E-D35D-4286-9BE7-AE3FB0202C2C}" name="FILE_PATH_1" dataDxfId="113" dataCellStyle="Currency">
      <calculatedColumnFormula>HYPERLINK(_xlfn.CONCAT(Table11[[#This Row],[ParentFolder]],"\",Table11[[#This Row],[FILE_NAME_1]]),Table11[[#This Row],[FILE_NAME_1]])</calculatedColumnFormula>
    </tableColumn>
    <tableColumn id="21" xr3:uid="{C6E98FC6-ED8F-4CC8-9816-F4935C0D923E}" name="FILE_NAME_2" dataDxfId="112"/>
    <tableColumn id="25" xr3:uid="{A958E28A-2A07-4D2A-A237-851516EABC27}" name="FILE_PATH_2" dataDxfId="111">
      <calculatedColumnFormula>HYPERLINK(_xlfn.CONCAT(Table11[[#This Row],[ParentFolder]],"\",Table11[[#This Row],[FILE_NAME_2]]),Table11[[#This Row],[FILE_NAME_2]])</calculatedColumnFormula>
    </tableColumn>
    <tableColumn id="22" xr3:uid="{2C892652-99D3-474D-86AA-29D1E60B9D82}" name="FILE_NAME_3" dataDxfId="110"/>
    <tableColumn id="26" xr3:uid="{039D82B7-D27B-490B-AC7C-A9279CBCBA00}" name="FILE_PATH_3" dataDxfId="109">
      <calculatedColumnFormula>HYPERLINK(_xlfn.CONCAT(Table11[[#This Row],[ParentFolder]],"\",Table11[[#This Row],[FILE_NAME_3]]),Table11[[#This Row],[FILE_NAME_3]])</calculatedColumnFormula>
    </tableColumn>
    <tableColumn id="23" xr3:uid="{D36480EF-DEA3-4D67-B1CB-5B12B05796BB}" name="FILE_NAME_4" dataDxfId="108"/>
    <tableColumn id="27" xr3:uid="{AA4ACBB5-CECB-4616-95C8-CD7AA2C7A887}" name="FILE_PATH_4" dataDxfId="107">
      <calculatedColumnFormula>HYPERLINK(_xlfn.CONCAT(Table11[[#This Row],[ParentFolder]],"\",Table11[[#This Row],[FILE_NAME_4]]),Table11[[#This Row],[FILE_NAME_4]])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D4FF1F-D595-48A8-801E-959AEC84AAA3}" name="Table10" displayName="Table10" ref="A1:AB31" totalsRowShown="0" headerRowDxfId="106" dataDxfId="105">
  <autoFilter ref="A1:AB31" xr:uid="{C4D4FF1F-D595-48A8-801E-959AEC84AAA3}"/>
  <sortState xmlns:xlrd2="http://schemas.microsoft.com/office/spreadsheetml/2017/richdata2" ref="A2:AB31">
    <sortCondition ref="A1:A31"/>
  </sortState>
  <tableColumns count="28">
    <tableColumn id="1" xr3:uid="{83A6F84C-97A6-4FD8-8F8E-985F3BF2A5A3}" name="InitiativeID" dataDxfId="104"/>
    <tableColumn id="2" xr3:uid="{48FF6D28-26C4-448A-9375-09B77739D851}" name="Initiative_Desc" dataDxfId="103"/>
    <tableColumn id="3" xr3:uid="{314CE20E-92ED-43C9-B695-F24DB75E3BA4}" name="Rebates_Type" dataDxfId="102"/>
    <tableColumn id="4" xr3:uid="{4EB0ACC7-9779-4557-89F7-9D9CE9AE8A4C}" name="Contract_Number" dataDxfId="101"/>
    <tableColumn id="5" xr3:uid="{C018B69C-F526-418F-AF91-AB2CAC214F7B}" name="Contract_Category" dataDxfId="100"/>
    <tableColumn id="6" xr3:uid="{1EF5802C-B88B-40D5-B256-552E91663FB3}" name="Contract_Source" dataDxfId="99"/>
    <tableColumn id="7" xr3:uid="{F2FB9AE3-6246-4E66-8608-4225A40687A4}" name="Vendor_Name" dataDxfId="98"/>
    <tableColumn id="8" xr3:uid="{A0BF224E-C640-4336-90BB-90F924197E18}" name="Rebate_Check_Date" dataDxfId="97"/>
    <tableColumn id="9" xr3:uid="{741247BD-E92C-4F57-8F57-A899AE2B26D4}" name="Rebate_Payment_Type" dataDxfId="96"/>
    <tableColumn id="10" xr3:uid="{B8364C74-3461-4DA2-BF62-F645EA56FD7A}" name="Check_Number" dataDxfId="95"/>
    <tableColumn id="11" xr3:uid="{DF8F38F6-F631-4668-B16C-2CCDB28D7B7A}" name="Rebate_amount" dataDxfId="94" dataCellStyle="Note"/>
    <tableColumn id="12" xr3:uid="{9D088629-7C0C-495D-B1B5-ED0CE2764EA9}" name="MMC_ALLOC" dataCellStyle="Currency"/>
    <tableColumn id="13" xr3:uid="{B90D9860-3A41-402C-9D85-45AFF62F726B}" name="BURKE_ALLOC" dataCellStyle="Currency"/>
    <tableColumn id="14" xr3:uid="{134C2119-F27B-427D-AE76-5C93CDE6AD9B}" name="AECOM_ALLOC" dataCellStyle="Currency"/>
    <tableColumn id="15" xr3:uid="{E02EA60E-3BA0-48BA-8130-C40D55AC94F0}" name="MMVO_ALLOC" dataCellStyle="Currency"/>
    <tableColumn id="16" xr3:uid="{A46C0FAD-C38B-4ED4-A9F7-DD8BB9BB9322}" name="MSSO_ALLOC" dataCellStyle="Currency"/>
    <tableColumn id="17" xr3:uid="{7F557D49-D6EA-46EC-B642-A3557AD28F9E}" name="NYACK_ALLOC" dataCellStyle="Currency"/>
    <tableColumn id="18" xr3:uid="{3C3F6CDD-B427-4054-9137-62487A318A28}" name="SLCH_ALLOC" dataCellStyle="Currency"/>
    <tableColumn id="19" xr3:uid="{C36CD737-0A74-46EB-B062-0B72ADEBC433}" name="WPH_ALLOC" dataCellStyle="Currency"/>
    <tableColumn id="28" xr3:uid="{68026D15-0006-4CD7-BCB4-2FCAEF15C7C0}" name="ParentFolder" dataCellStyle="Currency"/>
    <tableColumn id="20" xr3:uid="{58BBE9C5-AE50-4BE6-9B45-3412BD686B80}" name="FILE_NAME_1" dataDxfId="93"/>
    <tableColumn id="21" xr3:uid="{B2304F50-3364-4298-A0A4-224ECDE63C65}" name="FILE_NAME_2" dataDxfId="92"/>
    <tableColumn id="22" xr3:uid="{E15F4005-4E4C-4B06-9254-841A7CF5C883}" name="FILE_NAME_3" dataDxfId="91"/>
    <tableColumn id="23" xr3:uid="{CAC091BD-2DFE-4DFF-834D-32E07BB600A6}" name="FILE_NAME_4" dataDxfId="90"/>
    <tableColumn id="24" xr3:uid="{61BADD4B-F220-407E-9D8F-9FB1A03210AE}" name="FILE_PATH_1" dataDxfId="89">
      <calculatedColumnFormula>HYPERLINK(_xlfn.CONCAT(Table10[[#This Row],[ParentFolder]],"\",Table10[[#This Row],[FILE_NAME_1]]),Table10[[#This Row],[FILE_NAME_1]])</calculatedColumnFormula>
    </tableColumn>
    <tableColumn id="25" xr3:uid="{930533D8-E9F7-4A60-88F1-C3ECC4EFEE4F}" name="FILE_PATH_2" dataDxfId="88">
      <calculatedColumnFormula>HYPERLINK(_xlfn.CONCAT(Table10[[#This Row],[ParentFolder]],"\",Table10[[#This Row],[FILE_NAME_2]]),Table10[[#This Row],[FILE_NAME_2]])</calculatedColumnFormula>
    </tableColumn>
    <tableColumn id="26" xr3:uid="{B8E0E888-5D19-4A1F-AD34-920BF9BCE18A}" name="FILE_PATH_3" dataDxfId="87">
      <calculatedColumnFormula>HYPERLINK(_xlfn.CONCAT(Table10[[#This Row],[ParentFolder]],"\",Table10[[#This Row],[FILE_NAME_3]]),Table10[[#This Row],[FILE_NAME_3]])</calculatedColumnFormula>
    </tableColumn>
    <tableColumn id="27" xr3:uid="{D445CA44-2F29-4656-8F5A-F2BD653E2163}" name="FILE_PATH_4" dataDxfId="86">
      <calculatedColumnFormula>HYPERLINK(_xlfn.CONCAT(Table10[[#This Row],[ParentFolder]],"\",Table10[[#This Row],[FILE_NAME_4]]),Table10[[#This Row],[FILE_NAME_4]])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B124F4-7E04-4959-89E7-1AB968964E17}" name="Table9" displayName="Table9" ref="A1:Z12" totalsRowShown="0" headerRowDxfId="85" dataDxfId="84">
  <autoFilter ref="A1:Z12" xr:uid="{3EB124F4-7E04-4959-89E7-1AB968964E17}"/>
  <tableColumns count="26">
    <tableColumn id="1" xr3:uid="{6E5E6DBB-F0A8-4F74-A151-CF6EE720D1EE}" name="InitiativeID" dataDxfId="83"/>
    <tableColumn id="2" xr3:uid="{E69C4E8B-0F2F-447B-9206-86A0AA55CA61}" name="Initiative_Desc" dataDxfId="82"/>
    <tableColumn id="3" xr3:uid="{D5DE33A2-ED0C-4324-AF2B-31C5FF993949}" name="Rebates_Type" dataDxfId="81"/>
    <tableColumn id="4" xr3:uid="{CDD5D0D0-0D02-431C-9B2E-8A9A8F88B9DC}" name="Contract_Number" dataDxfId="80"/>
    <tableColumn id="5" xr3:uid="{33729B70-B27B-4089-A94C-1064695B0507}" name="Contract_Category" dataDxfId="79"/>
    <tableColumn id="6" xr3:uid="{33C77A0D-546C-459D-95ED-3D8062EB091D}" name="Contract_Source" dataDxfId="78"/>
    <tableColumn id="7" xr3:uid="{01459872-670D-4759-ABE8-020E3911C7CA}" name="Vendor_Name" dataDxfId="77"/>
    <tableColumn id="8" xr3:uid="{91EFA482-DDE5-4FC7-86A9-F04CB4C9BC16}" name="Rebate_Check_Date" dataDxfId="76"/>
    <tableColumn id="9" xr3:uid="{7B355F75-49F1-4BB0-8D28-37C2872CD578}" name="Rebate_Payment_Type" dataDxfId="75"/>
    <tableColumn id="10" xr3:uid="{E8F4F951-1C5C-4CF2-B601-9D7D23E876F0}" name="Check_Number" dataDxfId="74"/>
    <tableColumn id="11" xr3:uid="{A02F7EC3-A957-453A-AA83-DAB920DCBBB1}" name="Rebate_amount" dataCellStyle="Currency"/>
    <tableColumn id="12" xr3:uid="{C2A60A8C-61B0-4A42-AD54-016FA9EE48B8}" name="MMC_ALLOC" dataDxfId="73"/>
    <tableColumn id="13" xr3:uid="{D80B672C-37E3-4215-A8AA-3C5C76447FE7}" name="BURKE_ALLOC" dataDxfId="72"/>
    <tableColumn id="14" xr3:uid="{271040B2-3881-43AE-B847-F50B571A0FBE}" name="AECOM_ALLOC" dataDxfId="71"/>
    <tableColumn id="15" xr3:uid="{2B487ADD-0537-4E2B-B812-80221DC0188E}" name="MMVO_ALLOC" dataDxfId="70"/>
    <tableColumn id="16" xr3:uid="{2B4C2C55-6583-4EB6-BF29-1FB318DBBA1A}" name="MSSO_ALLOC" dataDxfId="69"/>
    <tableColumn id="17" xr3:uid="{9F97982C-5D9E-44BB-9B9D-721201C16CC7}" name="NYACK_ALLOC" dataDxfId="68"/>
    <tableColumn id="18" xr3:uid="{D43C2585-98E6-4920-89B6-B7DBF5EFC263}" name="SLCH_ALLOC" dataDxfId="67"/>
    <tableColumn id="19" xr3:uid="{2CE92961-B5B4-4015-9F84-FAEC5313537C}" name="WPH_ALLOC" dataDxfId="66"/>
    <tableColumn id="26" xr3:uid="{85F97EE9-CD30-45CE-988A-0ED64AC8EEF9}" name="ParentFolder" dataDxfId="65"/>
    <tableColumn id="20" xr3:uid="{A0CD1044-9188-443D-B742-A1BF5C8EE1F1}" name="FILE_NAME_1" dataDxfId="64"/>
    <tableColumn id="21" xr3:uid="{D92F26F6-A8A9-4613-A954-DF2E0C2F60E2}" name="FILE_NAME_2" dataDxfId="63"/>
    <tableColumn id="22" xr3:uid="{091426AA-8EB9-4334-9AAC-3A5E5431FABA}" name="FILE_NAME_3" dataDxfId="62"/>
    <tableColumn id="23" xr3:uid="{34C9CA38-4DEF-4E12-8723-D69F8E8EB130}" name="FILE_PATH_1" dataDxfId="61">
      <calculatedColumnFormula>HYPERLINK(_xlfn.CONCAT(Table9[[#This Row],[ParentFolder]],"\",Table9[[#This Row],[FILE_NAME_1]]),Table9[[#This Row],[FILE_NAME_1]])</calculatedColumnFormula>
    </tableColumn>
    <tableColumn id="24" xr3:uid="{E921A9B7-8978-4F67-A580-A2D1CF0F0DF6}" name="FILE_PATH_2" dataDxfId="60">
      <calculatedColumnFormula>HYPERLINK(_xlfn.CONCAT(Table9[[#This Row],[ParentFolder]],"\",Table9[[#This Row],[FILE_NAME_2]]),Table9[[#This Row],[FILE_NAME_2]])</calculatedColumnFormula>
    </tableColumn>
    <tableColumn id="25" xr3:uid="{810546AD-C401-48B4-A6D8-77389682074A}" name="FILE_PATH_3" dataDxfId="59">
      <calculatedColumnFormula>HYPERLINK(_xlfn.CONCAT(Table9[[#This Row],[ParentFolder]],"\",Table9[[#This Row],[FILE_NAME_3]]),Table9[[#This Row],[FILE_NAME_3]])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2863E2-A24D-43E8-B2AC-C1C8F8DF96E3}" name="Table910" displayName="Table910" ref="A1:AB14" totalsRowShown="0" headerRowDxfId="58" dataDxfId="57">
  <autoFilter ref="A1:AB14" xr:uid="{E79E8007-45D1-4653-88E0-A9688A1322DE}"/>
  <tableColumns count="28">
    <tableColumn id="1" xr3:uid="{C43336F8-9227-4DB1-A6DE-831003ED17E5}" name="InitiativeID" dataDxfId="56"/>
    <tableColumn id="2" xr3:uid="{29C7FDE5-CE05-41D5-9BB7-5F5F5213FA4F}" name="Initiative_Desc" dataDxfId="55"/>
    <tableColumn id="3" xr3:uid="{37365270-A993-42C8-93AD-FF76A59EBDE7}" name="Rebates_Type" dataDxfId="54"/>
    <tableColumn id="4" xr3:uid="{20D8EDD5-FD8A-4BB8-A6EB-B6FF4658CB6F}" name="Contract_Number" dataDxfId="53"/>
    <tableColumn id="5" xr3:uid="{FB0105E2-EE97-4502-8AF3-56701BCCDDE5}" name="Contract_Category" dataDxfId="52"/>
    <tableColumn id="6" xr3:uid="{F6EEC545-11F6-4F21-852C-567F704BF120}" name="Contract_Source" dataDxfId="51"/>
    <tableColumn id="7" xr3:uid="{FCC5D687-0FBF-446B-B255-FD18A874E092}" name="Vendor_Name" dataDxfId="50"/>
    <tableColumn id="8" xr3:uid="{742E8983-04FB-4218-8D34-58B0121A2A9D}" name="Rebate_Check_Date" dataDxfId="49"/>
    <tableColumn id="9" xr3:uid="{09AEDFDF-FCF6-42CA-A655-B5217A076D50}" name="Rebate_Payment_Type" dataDxfId="48"/>
    <tableColumn id="10" xr3:uid="{9FEC2C27-D1AD-47E2-B447-C2DC46ADF027}" name="Check_Number" dataDxfId="47"/>
    <tableColumn id="11" xr3:uid="{0E2E4C18-9858-4B01-827F-74FC653BEC8C}" name="Rebate_amount" dataDxfId="46" dataCellStyle="Note"/>
    <tableColumn id="12" xr3:uid="{A4658821-C5DA-4B8D-92B0-E7633F32B375}" name="MMC_ALLOC" dataCellStyle="Currency"/>
    <tableColumn id="13" xr3:uid="{9BF66D54-E86C-4079-9C4B-123BCDD33B75}" name="BURKE_ALLOC" dataCellStyle="Currency"/>
    <tableColumn id="14" xr3:uid="{2B5F1A23-8FD2-40AD-B6E3-0E6C9C3BF95D}" name="AECOM_ALLOC" dataCellStyle="Currency"/>
    <tableColumn id="15" xr3:uid="{807188C7-44B2-4B12-9D78-1A4442FC11A8}" name="MMVO_ALLOC" dataCellStyle="Currency"/>
    <tableColumn id="16" xr3:uid="{62E1AF7D-4A0B-4BFD-9276-63932E4E6361}" name="MSSO_ALLOC" dataCellStyle="Currency"/>
    <tableColumn id="17" xr3:uid="{90155950-EAAF-4096-AE73-F111374FD2B0}" name="NYACK_ALLOC" dataCellStyle="Currency"/>
    <tableColumn id="18" xr3:uid="{4D995F08-F58F-46DB-8635-86A8D44BFAD7}" name="SLCH_ALLOC" dataCellStyle="Currency"/>
    <tableColumn id="19" xr3:uid="{E62EA1CB-04BC-48AD-8A5B-355A8AD23C67}" name="WPH_ALLOC" dataCellStyle="Currency"/>
    <tableColumn id="28" xr3:uid="{DE26BBC9-83DF-4F92-9580-A6028512982F}" name="Parent" dataCellStyle="Currency"/>
    <tableColumn id="20" xr3:uid="{1319F44E-AA44-48C9-939F-090327ED599B}" name="FILE_NAME_1" dataDxfId="45" dataCellStyle="Currency"/>
    <tableColumn id="24" xr3:uid="{8A2BF0C6-0F5B-4C36-AF18-2ED9457C1F19}" name="FILE_PATH_1" dataDxfId="44" dataCellStyle="Hyperlink">
      <calculatedColumnFormula>HYPERLINK(_xlfn.CONCAT(Table910[[#This Row],[Parent]],Table910[[#This Row],[FILE_NAME_1]]),Table910[[#This Row],[FILE_NAME_1]])</calculatedColumnFormula>
    </tableColumn>
    <tableColumn id="21" xr3:uid="{2E781858-1101-4BE5-A86B-7D46FBB19BEF}" name="FILE_NAME_2" dataDxfId="43"/>
    <tableColumn id="25" xr3:uid="{8CA21C1A-C059-41D5-889C-2038B8E4A4F3}" name="FILE_PATH_2" dataDxfId="42">
      <calculatedColumnFormula>HYPERLINK(_xlfn.CONCAT(Table910[[#This Row],[Parent]],Table910[[#This Row],[FILE_NAME_2]]),Table910[[#This Row],[FILE_NAME_2]])</calculatedColumnFormula>
    </tableColumn>
    <tableColumn id="22" xr3:uid="{AB574A39-AC1B-443F-B736-4114ACF16A82}" name="FILE_NAME_3" dataDxfId="41"/>
    <tableColumn id="26" xr3:uid="{F99BF9C4-A549-48BE-9D28-F77C41EB5DC5}" name="FILE_PATH_3" dataDxfId="40">
      <calculatedColumnFormula>HYPERLINK(_xlfn.CONCAT(Table910[[#This Row],[Parent]],Table910[[#This Row],[FILE_NAME_3]]),Table910[[#This Row],[FILE_NAME_3]])</calculatedColumnFormula>
    </tableColumn>
    <tableColumn id="23" xr3:uid="{409B7EB8-27F6-443B-939A-180D1B7C5207}" name="FILE_NAME_4" dataDxfId="39"/>
    <tableColumn id="27" xr3:uid="{108DF90C-673D-4716-94C3-DE5B8072C880}" name="FILE_PATH_4" dataDxfId="38">
      <calculatedColumnFormula>HYPERLINK(_xlfn.CONCAT(Table910[[#This Row],[Parent]],Table910[[#This Row],[FILE_NAME_4]]),Table910[[#This Row],[FILE_NAME_4]])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8" displayName="Table8" ref="A1:Z41" totalsRowShown="0">
  <autoFilter ref="A1:Z41" xr:uid="{00000000-0009-0000-0100-000001000000}"/>
  <tableColumns count="26">
    <tableColumn id="1" xr3:uid="{00000000-0010-0000-0000-000001000000}" name="InitiativeID"/>
    <tableColumn id="2" xr3:uid="{00000000-0010-0000-0000-000002000000}" name="Initiative_Desc"/>
    <tableColumn id="3" xr3:uid="{00000000-0010-0000-0000-000003000000}" name="Rebates_Type"/>
    <tableColumn id="4" xr3:uid="{00000000-0010-0000-0000-000004000000}" name="Contract_Number"/>
    <tableColumn id="5" xr3:uid="{00000000-0010-0000-0000-000005000000}" name="Contract_Category"/>
    <tableColumn id="6" xr3:uid="{00000000-0010-0000-0000-000006000000}" name="Contract_Source"/>
    <tableColumn id="7" xr3:uid="{00000000-0010-0000-0000-000007000000}" name="Vendor_Name"/>
    <tableColumn id="8" xr3:uid="{00000000-0010-0000-0000-000008000000}" name="Rebate_Check_Date"/>
    <tableColumn id="9" xr3:uid="{00000000-0010-0000-0000-000009000000}" name="Rebate_Payment_Type"/>
    <tableColumn id="10" xr3:uid="{00000000-0010-0000-0000-00000A000000}" name="Check_Number"/>
    <tableColumn id="11" xr3:uid="{00000000-0010-0000-0000-00000B000000}" name="Rebate_amount" dataDxfId="37" dataCellStyle="Currency"/>
    <tableColumn id="12" xr3:uid="{00000000-0010-0000-0000-00000C000000}" name="MMC_ALLOC" dataCellStyle="Currency"/>
    <tableColumn id="13" xr3:uid="{00000000-0010-0000-0000-00000D000000}" name="BURKE_ALLOC" dataCellStyle="Currency"/>
    <tableColumn id="14" xr3:uid="{00000000-0010-0000-0000-00000E000000}" name="AECOM_ALLOC" dataCellStyle="Currency"/>
    <tableColumn id="15" xr3:uid="{00000000-0010-0000-0000-00000F000000}" name="MMVO_ALLOC" dataCellStyle="Currency"/>
    <tableColumn id="16" xr3:uid="{00000000-0010-0000-0000-000010000000}" name="MSSO_ALLOC" dataCellStyle="Currency"/>
    <tableColumn id="17" xr3:uid="{00000000-0010-0000-0000-000011000000}" name="NYACK_ALLOC" dataCellStyle="Currency"/>
    <tableColumn id="18" xr3:uid="{00000000-0010-0000-0000-000012000000}" name="SLCH_ALLOC" dataCellStyle="Currency"/>
    <tableColumn id="19" xr3:uid="{00000000-0010-0000-0000-000013000000}" name="WPH_ALLOC" dataCellStyle="Currency"/>
    <tableColumn id="26" xr3:uid="{00000000-0010-0000-0000-00001A000000}" name="Parent" dataCellStyle="Currency"/>
    <tableColumn id="20" xr3:uid="{00000000-0010-0000-0000-000014000000}" name="FILE_NAME_1"/>
    <tableColumn id="21" xr3:uid="{00000000-0010-0000-0000-000015000000}" name="FILE_NAME_2"/>
    <tableColumn id="22" xr3:uid="{00000000-0010-0000-0000-000016000000}" name="FILE_NAME_3"/>
    <tableColumn id="23" xr3:uid="{00000000-0010-0000-0000-000017000000}" name="FILE_PATH_1">
      <calculatedColumnFormula>HYPERLINK(_xlfn.CONCAT(Table8[[#This Row],[Parent]],Table8[[#This Row],[FILE_NAME_1]]),Table8[[#This Row],[FILE_NAME_1]])</calculatedColumnFormula>
    </tableColumn>
    <tableColumn id="24" xr3:uid="{00000000-0010-0000-0000-000018000000}" name="FILE_PATH_2">
      <calculatedColumnFormula>HYPERLINK(_xlfn.CONCAT(Table8[[#This Row],[Parent]],Table8[[#This Row],[FILE_NAME_2]]),Table8[[#This Row],[FILE_NAME_2]])</calculatedColumnFormula>
    </tableColumn>
    <tableColumn id="25" xr3:uid="{00000000-0010-0000-0000-000019000000}" name="FILE_PATH_3">
      <calculatedColumnFormula>HYPERLINK(_xlfn.CONCAT(Table8[[#This Row],[Parent]],Table8[[#This Row],[FILE_NAME_3]]),Table8[[#This Row],[FILE_NAME_3]])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A1:AC7" totalsRowShown="0">
  <autoFilter ref="A1:AC7" xr:uid="{00000000-0009-0000-0100-000002000000}"/>
  <tableColumns count="29">
    <tableColumn id="1" xr3:uid="{00000000-0010-0000-0100-000001000000}" name="InitiativeID"/>
    <tableColumn id="2" xr3:uid="{00000000-0010-0000-0100-000002000000}" name="Initiative_Desc"/>
    <tableColumn id="3" xr3:uid="{00000000-0010-0000-0100-000003000000}" name="Rebates_Type"/>
    <tableColumn id="4" xr3:uid="{00000000-0010-0000-0100-000004000000}" name="Contract_Number"/>
    <tableColumn id="5" xr3:uid="{00000000-0010-0000-0100-000005000000}" name="Contract_Category"/>
    <tableColumn id="6" xr3:uid="{00000000-0010-0000-0100-000006000000}" name="Contract_Source"/>
    <tableColumn id="7" xr3:uid="{00000000-0010-0000-0100-000007000000}" name="Vendor_Name"/>
    <tableColumn id="8" xr3:uid="{00000000-0010-0000-0100-000008000000}" name="Rebate_Check_Date"/>
    <tableColumn id="9" xr3:uid="{00000000-0010-0000-0100-000009000000}" name="Rebate_Payment_Type"/>
    <tableColumn id="10" xr3:uid="{00000000-0010-0000-0100-00000A000000}" name="Check_Number"/>
    <tableColumn id="11" xr3:uid="{00000000-0010-0000-0100-00000B000000}" name="Rebate_amount" dataDxfId="36" dataCellStyle="Currency"/>
    <tableColumn id="12" xr3:uid="{00000000-0010-0000-0100-00000C000000}" name="MMC_ALLOC" dataCellStyle="Currency"/>
    <tableColumn id="13" xr3:uid="{00000000-0010-0000-0100-00000D000000}" name="BURKE_ALLOC" dataCellStyle="Currency"/>
    <tableColumn id="14" xr3:uid="{00000000-0010-0000-0100-00000E000000}" name="AECOM_ALLOC" dataCellStyle="Currency"/>
    <tableColumn id="15" xr3:uid="{00000000-0010-0000-0100-00000F000000}" name="MMVO_ALLOC" dataCellStyle="Currency"/>
    <tableColumn id="16" xr3:uid="{00000000-0010-0000-0100-000010000000}" name="MSSO_ALLOC" dataCellStyle="Currency"/>
    <tableColumn id="17" xr3:uid="{00000000-0010-0000-0100-000011000000}" name="NYACK_ALLOC" dataCellStyle="Currency"/>
    <tableColumn id="18" xr3:uid="{00000000-0010-0000-0100-000012000000}" name="SLCH_ALLOC" dataCellStyle="Currency"/>
    <tableColumn id="19" xr3:uid="{00000000-0010-0000-0100-000013000000}" name="WPH_ALLOC" dataCellStyle="Currency"/>
    <tableColumn id="26" xr3:uid="{00000000-0010-0000-0100-00001A000000}" name="ParentFolder" dataCellStyle="Currency"/>
    <tableColumn id="27" xr3:uid="{00000000-0010-0000-0100-00001B000000}" name="Column1" dataDxfId="35"/>
    <tableColumn id="20" xr3:uid="{00000000-0010-0000-0100-000014000000}" name="FILE_NAME_1">
      <calculatedColumnFormula>HYPERLINK(Table7[[#This Row],[Column1]])</calculatedColumnFormula>
    </tableColumn>
    <tableColumn id="29" xr3:uid="{00000000-0010-0000-0100-00001D000000}" name="FILE_NAME_12" dataDxfId="34"/>
    <tableColumn id="21" xr3:uid="{00000000-0010-0000-0100-000015000000}" name="FILE_NAME_2">
      <calculatedColumnFormula>HYPERLINK(Table7[[#This Row],[FILE_NAME_12]])</calculatedColumnFormula>
    </tableColumn>
    <tableColumn id="30" xr3:uid="{00000000-0010-0000-0100-00001E000000}" name="Column2" dataDxfId="33"/>
    <tableColumn id="22" xr3:uid="{00000000-0010-0000-0100-000016000000}" name="FILE_NAME_3">
      <calculatedColumnFormula>HYPERLINK(Table7[[#This Row],[Column2]])</calculatedColumnFormula>
    </tableColumn>
    <tableColumn id="23" xr3:uid="{00000000-0010-0000-0100-000017000000}" name="FILE_PATH_1"/>
    <tableColumn id="24" xr3:uid="{00000000-0010-0000-0100-000018000000}" name="FILE_PATH_2"/>
    <tableColumn id="25" xr3:uid="{00000000-0010-0000-0100-000019000000}" name="FILE_PATH_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6" displayName="Table6" ref="A1:AG11" totalsRowShown="0">
  <autoFilter ref="A1:AG11" xr:uid="{00000000-0009-0000-0100-000003000000}"/>
  <tableColumns count="33">
    <tableColumn id="1" xr3:uid="{00000000-0010-0000-0200-000001000000}" name="InitiativeID"/>
    <tableColumn id="2" xr3:uid="{00000000-0010-0000-0200-000002000000}" name="Initiative_Desc"/>
    <tableColumn id="3" xr3:uid="{00000000-0010-0000-0200-000003000000}" name="Rebates_Type"/>
    <tableColumn id="4" xr3:uid="{00000000-0010-0000-0200-000004000000}" name="Contract_Number"/>
    <tableColumn id="5" xr3:uid="{00000000-0010-0000-0200-000005000000}" name="Contract_Category"/>
    <tableColumn id="6" xr3:uid="{00000000-0010-0000-0200-000006000000}" name="Contract_Source"/>
    <tableColumn id="7" xr3:uid="{00000000-0010-0000-0200-000007000000}" name="Vendor_Name"/>
    <tableColumn id="8" xr3:uid="{00000000-0010-0000-0200-000008000000}" name="Rebate_Check_Date"/>
    <tableColumn id="9" xr3:uid="{00000000-0010-0000-0200-000009000000}" name="Rebate_Payment_Type"/>
    <tableColumn id="10" xr3:uid="{00000000-0010-0000-0200-00000A000000}" name="Check_Number"/>
    <tableColumn id="11" xr3:uid="{00000000-0010-0000-0200-00000B000000}" name="Rebate_amount" dataDxfId="32" dataCellStyle="Currency"/>
    <tableColumn id="12" xr3:uid="{00000000-0010-0000-0200-00000C000000}" name="MMC_ALLOC" dataCellStyle="Currency"/>
    <tableColumn id="13" xr3:uid="{00000000-0010-0000-0200-00000D000000}" name="BURKE_ALLOC" dataCellStyle="Currency"/>
    <tableColumn id="14" xr3:uid="{00000000-0010-0000-0200-00000E000000}" name="AECOM_ALLOC" dataCellStyle="Currency"/>
    <tableColumn id="15" xr3:uid="{00000000-0010-0000-0200-00000F000000}" name="MMVO_ALLOC" dataCellStyle="Currency"/>
    <tableColumn id="16" xr3:uid="{00000000-0010-0000-0200-000010000000}" name="MSSO_ALLOC" dataCellStyle="Currency"/>
    <tableColumn id="17" xr3:uid="{00000000-0010-0000-0200-000011000000}" name="NYACK_ALLOC" dataCellStyle="Currency"/>
    <tableColumn id="18" xr3:uid="{00000000-0010-0000-0200-000012000000}" name="SLCH_ALLOC" dataCellStyle="Currency"/>
    <tableColumn id="19" xr3:uid="{00000000-0010-0000-0200-000013000000}" name="WPH_ALLOC" dataCellStyle="Currency"/>
    <tableColumn id="30" xr3:uid="{00000000-0010-0000-0200-00001E000000}" name="Parent Folder" dataCellStyle="Currency"/>
    <tableColumn id="20" xr3:uid="{00000000-0010-0000-0200-000014000000}" name="FILE_NAME_1"/>
    <tableColumn id="31" xr3:uid="{00000000-0010-0000-0200-00001F000000}" name="FILE_NAME_12" dataDxfId="31"/>
    <tableColumn id="25" xr3:uid="{00000000-0010-0000-0200-000019000000}" name="FILE_PATH_1" dataDxfId="30" dataCellStyle="Currency">
      <calculatedColumnFormula>HYPERLINK(Table6[[#This Row],[FILE_NAME_12]])</calculatedColumnFormula>
    </tableColumn>
    <tableColumn id="32" xr3:uid="{00000000-0010-0000-0200-000020000000}" name="FILE_PATH_12" dataDxfId="29" dataCellStyle="Hyperlink">
      <calculatedColumnFormula>HYPERLINK(Table6[[#This Row],[FILE_PATH_2]])</calculatedColumnFormula>
    </tableColumn>
    <tableColumn id="26" xr3:uid="{00000000-0010-0000-0200-00001A000000}" name="FILE_PATH_2" dataDxfId="28"/>
    <tableColumn id="21" xr3:uid="{00000000-0010-0000-0200-000015000000}" name="FILE_NAME_2"/>
    <tableColumn id="27" xr3:uid="{00000000-0010-0000-0200-00001B000000}" name="FILE_PATH_3" dataDxfId="27"/>
    <tableColumn id="34" xr3:uid="{00000000-0010-0000-0200-000022000000}" name="FILE_PATH_32" dataDxfId="26">
      <calculatedColumnFormula>HYPERLINK(Table6[[#This Row],[FILE_PATH_3]])</calculatedColumnFormula>
    </tableColumn>
    <tableColumn id="22" xr3:uid="{00000000-0010-0000-0200-000016000000}" name="FILE_NAME_3"/>
    <tableColumn id="28" xr3:uid="{00000000-0010-0000-0200-00001C000000}" name="FILE_PATH_4" dataDxfId="25">
      <calculatedColumnFormula>HYPERLINK(Table6[[#This Row],[FILE_NAME_4]])</calculatedColumnFormula>
    </tableColumn>
    <tableColumn id="23" xr3:uid="{00000000-0010-0000-0200-000017000000}" name="FILE_NAME_4"/>
    <tableColumn id="29" xr3:uid="{00000000-0010-0000-0200-00001D000000}" name="FILE_PATH_5" dataDxfId="24">
      <calculatedColumnFormula>HYPERLINK(Table6[[#This Row],[FILE_NAME_5]])</calculatedColumnFormula>
    </tableColumn>
    <tableColumn id="24" xr3:uid="{00000000-0010-0000-0200-000018000000}" name="FILE_NAME_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Y8" totalsRowShown="0">
  <autoFilter ref="A1:Y8" xr:uid="{00000000-0009-0000-0100-000004000000}"/>
  <tableColumns count="25">
    <tableColumn id="1" xr3:uid="{00000000-0010-0000-0300-000001000000}" name="InitiativeID"/>
    <tableColumn id="2" xr3:uid="{00000000-0010-0000-0300-000002000000}" name="Initiative_Desc"/>
    <tableColumn id="3" xr3:uid="{00000000-0010-0000-0300-000003000000}" name="Rebates_Type"/>
    <tableColumn id="4" xr3:uid="{00000000-0010-0000-0300-000004000000}" name="Contract_Number"/>
    <tableColumn id="5" xr3:uid="{00000000-0010-0000-0300-000005000000}" name="Contract_Category"/>
    <tableColumn id="6" xr3:uid="{00000000-0010-0000-0300-000006000000}" name="Contract_Source"/>
    <tableColumn id="7" xr3:uid="{00000000-0010-0000-0300-000007000000}" name="Vendor_Name"/>
    <tableColumn id="8" xr3:uid="{00000000-0010-0000-0300-000008000000}" name="Rebate_Check_Date"/>
    <tableColumn id="10" xr3:uid="{00000000-0010-0000-0300-00000A000000}" name="Rebate_Payment_Type"/>
    <tableColumn id="9" xr3:uid="{00000000-0010-0000-0300-000009000000}" name="Check_Number"/>
    <tableColumn id="11" xr3:uid="{00000000-0010-0000-0300-00000B000000}" name="Rebate_amount" dataCellStyle="Currency"/>
    <tableColumn id="12" xr3:uid="{00000000-0010-0000-0300-00000C000000}" name="MMC_ALLOC" dataCellStyle="Currency"/>
    <tableColumn id="13" xr3:uid="{00000000-0010-0000-0300-00000D000000}" name="BURKE_ALLOC" dataCellStyle="Currency"/>
    <tableColumn id="14" xr3:uid="{00000000-0010-0000-0300-00000E000000}" name="AECOM_ALLOC" dataCellStyle="Currency"/>
    <tableColumn id="15" xr3:uid="{00000000-0010-0000-0300-00000F000000}" name="MMVO_ALLOC" dataCellStyle="Currency"/>
    <tableColumn id="16" xr3:uid="{00000000-0010-0000-0300-000010000000}" name="MSSO_ALLOC" dataCellStyle="Currency"/>
    <tableColumn id="17" xr3:uid="{00000000-0010-0000-0300-000011000000}" name="NYACK_ALLOC" dataCellStyle="Currency"/>
    <tableColumn id="18" xr3:uid="{00000000-0010-0000-0300-000012000000}" name="SLCH_ALLOC" dataCellStyle="Currency"/>
    <tableColumn id="19" xr3:uid="{00000000-0010-0000-0300-000013000000}" name="WPH_ALLOC" dataCellStyle="Currency"/>
    <tableColumn id="20" xr3:uid="{00000000-0010-0000-0300-000014000000}" name="FILE_NAME_1"/>
    <tableColumn id="21" xr3:uid="{00000000-0010-0000-0300-000015000000}" name="FILE_NAME_2"/>
    <tableColumn id="22" xr3:uid="{00000000-0010-0000-0300-000016000000}" name="FILE_NAME_3"/>
    <tableColumn id="23" xr3:uid="{00000000-0010-0000-0300-000017000000}" name="FILE_PATH_1"/>
    <tableColumn id="24" xr3:uid="{00000000-0010-0000-0300-000018000000}" name="FILE_PATH_2"/>
    <tableColumn id="25" xr3:uid="{00000000-0010-0000-0300-000019000000}" name="FILE_PATH_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Z13" totalsRowShown="0">
  <autoFilter ref="A1:Z13" xr:uid="{00000000-0009-0000-0100-000005000000}"/>
  <tableColumns count="26">
    <tableColumn id="1" xr3:uid="{00000000-0010-0000-0400-000001000000}" name="InitiativeID"/>
    <tableColumn id="2" xr3:uid="{00000000-0010-0000-0400-000002000000}" name="Initiative_Desc"/>
    <tableColumn id="3" xr3:uid="{00000000-0010-0000-0400-000003000000}" name="Rebates_Type"/>
    <tableColumn id="4" xr3:uid="{00000000-0010-0000-0400-000004000000}" name="Contract_Number"/>
    <tableColumn id="5" xr3:uid="{00000000-0010-0000-0400-000005000000}" name="Contract_Category"/>
    <tableColumn id="6" xr3:uid="{00000000-0010-0000-0400-000006000000}" name="Contract_Source"/>
    <tableColumn id="7" xr3:uid="{00000000-0010-0000-0400-000007000000}" name="Vendor_Name"/>
    <tableColumn id="8" xr3:uid="{00000000-0010-0000-0400-000008000000}" name="Rebate_Check_Date"/>
    <tableColumn id="9" xr3:uid="{00000000-0010-0000-0400-000009000000}" name="Check_Number"/>
    <tableColumn id="10" xr3:uid="{00000000-0010-0000-0400-00000A000000}" name="Rebate_amount" dataCellStyle="Currency"/>
    <tableColumn id="11" xr3:uid="{00000000-0010-0000-0400-00000B000000}" name="MMC_ALLOC" dataCellStyle="Currency"/>
    <tableColumn id="12" xr3:uid="{00000000-0010-0000-0400-00000C000000}" name="BURKE_ALLOC" dataCellStyle="Currency"/>
    <tableColumn id="13" xr3:uid="{00000000-0010-0000-0400-00000D000000}" name="AECOM_ALLOC" dataCellStyle="Currency"/>
    <tableColumn id="14" xr3:uid="{00000000-0010-0000-0400-00000E000000}" name="MMVO_ALLOC" dataCellStyle="Currency"/>
    <tableColumn id="15" xr3:uid="{00000000-0010-0000-0400-00000F000000}" name="MSSO_ALLOC" dataCellStyle="Currency"/>
    <tableColumn id="16" xr3:uid="{00000000-0010-0000-0400-000010000000}" name="NYACK_ALLOC" dataCellStyle="Currency"/>
    <tableColumn id="17" xr3:uid="{00000000-0010-0000-0400-000011000000}" name="SLCH_ALLOC" dataCellStyle="Currency"/>
    <tableColumn id="18" xr3:uid="{00000000-0010-0000-0400-000012000000}" name="WPH_ALLOC" dataCellStyle="Currency"/>
    <tableColumn id="19" xr3:uid="{00000000-0010-0000-0400-000013000000}" name="FILE_NAME_1"/>
    <tableColumn id="20" xr3:uid="{00000000-0010-0000-0400-000014000000}" name="FILE_NAME_2"/>
    <tableColumn id="21" xr3:uid="{00000000-0010-0000-0400-000015000000}" name="FILE_NAME_3"/>
    <tableColumn id="22" xr3:uid="{00000000-0010-0000-0400-000016000000}" name="FILE_NAME_4"/>
    <tableColumn id="23" xr3:uid="{00000000-0010-0000-0400-000017000000}" name="FILE_PATH_1" dataDxfId="23">
      <calculatedColumnFormula>HYPERLINK("I:\Procurement PMO\Simi_Sudhakaran\Applications\Rebate Box Savings Tracker\REBATE - Savings Tracker\Rebate attachments - 11142024\" &amp; S2,S2)</calculatedColumnFormula>
    </tableColumn>
    <tableColumn id="24" xr3:uid="{00000000-0010-0000-0400-000018000000}" name="FILE_PATH_2" dataDxfId="22">
      <calculatedColumnFormula>HYPERLINK("I:\Procurement PMO\Simi_Sudhakaran\Applications\Rebate Box Savings Tracker\REBATE - Savings Tracker\Rebate attachments - 11142024\" &amp; T2,T2)</calculatedColumnFormula>
    </tableColumn>
    <tableColumn id="25" xr3:uid="{00000000-0010-0000-0400-000019000000}" name="FILE_PATH_3" dataDxfId="21">
      <calculatedColumnFormula>HYPERLINK("I:\Procurement PMO\Simi_Sudhakaran\Applications\Rebate Box Savings Tracker\REBATE - Savings Tracker\Rebate attachments - 11142024\" &amp; U2,U2)</calculatedColumnFormula>
    </tableColumn>
    <tableColumn id="26" xr3:uid="{00000000-0010-0000-0400-00001A000000}" name="FILE_PATH_4" dataDxfId="20">
      <calculatedColumnFormula>HYPERLINK("I:\Procurement PMO\Simi_Sudhakaran\Applications\Rebate Box Savings Tracker\REBATE - Savings Tracker\Rebate attachments - 11142024\" &amp; V2,V2)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1:W10" totalsRowShown="0">
  <autoFilter ref="A1:W10" xr:uid="{00000000-0009-0000-0100-000006000000}"/>
  <tableColumns count="23">
    <tableColumn id="1" xr3:uid="{00000000-0010-0000-0500-000001000000}" name="InitiativeID"/>
    <tableColumn id="2" xr3:uid="{00000000-0010-0000-0500-000002000000}" name="VENDOR_NAME"/>
    <tableColumn id="3" xr3:uid="{00000000-0010-0000-0500-000003000000}" name="CONTRACT_SOURCE"/>
    <tableColumn id="4" xr3:uid="{00000000-0010-0000-0500-000004000000}" name="CONTRACT_CATEGORY"/>
    <tableColumn id="5" xr3:uid="{00000000-0010-0000-0500-000005000000}" name="CONTRACT_ID"/>
    <tableColumn id="6" xr3:uid="{00000000-0010-0000-0500-000006000000}" name="INITIATIVE_DESCRIPTION"/>
    <tableColumn id="7" xr3:uid="{00000000-0010-0000-0500-000007000000}" name="UPDATED_TIMESTAMP"/>
    <tableColumn id="8" xr3:uid="{00000000-0010-0000-0500-000008000000}" name="CHECK_DATE" dataDxfId="19"/>
    <tableColumn id="9" xr3:uid="{00000000-0010-0000-0500-000009000000}" name="REBATE_AMOUNT" dataDxfId="18" dataCellStyle="Currency"/>
    <tableColumn id="10" xr3:uid="{00000000-0010-0000-0500-00000A000000}" name="MMC_ALLOCATION" dataDxfId="17" dataCellStyle="Currency"/>
    <tableColumn id="11" xr3:uid="{00000000-0010-0000-0500-00000B000000}" name="MMVO_ALLOCATION" dataDxfId="16" dataCellStyle="Currency"/>
    <tableColumn id="12" xr3:uid="{00000000-0010-0000-0500-00000C000000}" name="MSSO_ALLOCATION" dataDxfId="15" dataCellStyle="Currency"/>
    <tableColumn id="13" xr3:uid="{00000000-0010-0000-0500-00000D000000}" name="NYACK_ALLOCATION" dataDxfId="14" dataCellStyle="Currency"/>
    <tableColumn id="14" xr3:uid="{00000000-0010-0000-0500-00000E000000}" name="WPH_ALLOCATION" dataDxfId="13" dataCellStyle="Currency"/>
    <tableColumn id="15" xr3:uid="{00000000-0010-0000-0500-00000F000000}" name="MSLC_ALLOCATION" dataDxfId="12" dataCellStyle="Currency"/>
    <tableColumn id="16" xr3:uid="{00000000-0010-0000-0500-000010000000}" name="BRH_ALLOCATION" dataDxfId="11" dataCellStyle="Currency"/>
    <tableColumn id="17" xr3:uid="{00000000-0010-0000-0500-000011000000}" name="AECOM_ALLOCATION" dataDxfId="10" dataCellStyle="Currency"/>
    <tableColumn id="18" xr3:uid="{00000000-0010-0000-0500-000012000000}" name="Attachment-1"/>
    <tableColumn id="21" xr3:uid="{00000000-0010-0000-0500-000015000000}" name="Attachment1" dataDxfId="9">
      <calculatedColumnFormula>HYPERLINK(Table1[[#This Row],[Attachment-1]])</calculatedColumnFormula>
    </tableColumn>
    <tableColumn id="19" xr3:uid="{00000000-0010-0000-0500-000013000000}" name="Attachment-2"/>
    <tableColumn id="22" xr3:uid="{00000000-0010-0000-0500-000016000000}" name="Attachment2" dataDxfId="8">
      <calculatedColumnFormula>HYPERLINK(Table1[[#This Row],[Attachment-2]])</calculatedColumnFormula>
    </tableColumn>
    <tableColumn id="20" xr3:uid="{00000000-0010-0000-0500-000014000000}" name="Attachment-3"/>
    <tableColumn id="23" xr3:uid="{00000000-0010-0000-0500-000017000000}" name="Attachment3" dataDxfId="7">
      <calculatedColumnFormula>HYPERLINK(Table1[[#This Row],[Attachment-3]])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" displayName="Table4" ref="A1:Y15" totalsRowShown="0">
  <autoFilter ref="A1:Y15" xr:uid="{00000000-0009-0000-0100-000007000000}"/>
  <tableColumns count="25">
    <tableColumn id="1" xr3:uid="{00000000-0010-0000-0600-000001000000}" name="Initiative ID"/>
    <tableColumn id="2" xr3:uid="{00000000-0010-0000-0600-000002000000}" name="Contract Category"/>
    <tableColumn id="3" xr3:uid="{00000000-0010-0000-0600-000003000000}" name="Contract ID"/>
    <tableColumn id="4" xr3:uid="{00000000-0010-0000-0600-000004000000}" name="Description"/>
    <tableColumn id="5" xr3:uid="{00000000-0010-0000-0600-000005000000}" name="Vendor Name"/>
    <tableColumn id="6" xr3:uid="{00000000-0010-0000-0600-000006000000}" name="Timestamp" dataDxfId="6"/>
    <tableColumn id="7" xr3:uid="{00000000-0010-0000-0600-000007000000}" name="Rebate Amount" dataCellStyle="Currency"/>
    <tableColumn id="8" xr3:uid="{00000000-0010-0000-0600-000008000000}" name="MMC Allocation" dataCellStyle="Currency"/>
    <tableColumn id="9" xr3:uid="{00000000-0010-0000-0600-000009000000}" name="MMVO Allocation" dataCellStyle="Currency"/>
    <tableColumn id="10" xr3:uid="{00000000-0010-0000-0600-00000A000000}" name="MSSO Allocation" dataCellStyle="Currency"/>
    <tableColumn id="11" xr3:uid="{00000000-0010-0000-0600-00000B000000}" name="NYACK Allocation" dataCellStyle="Currency"/>
    <tableColumn id="12" xr3:uid="{00000000-0010-0000-0600-00000C000000}" name="WPH Allocation" dataCellStyle="Currency"/>
    <tableColumn id="13" xr3:uid="{00000000-0010-0000-0600-00000D000000}" name="MSLC Allocation" dataCellStyle="Currency"/>
    <tableColumn id="14" xr3:uid="{00000000-0010-0000-0600-00000E000000}" name="BURKE Allocation" dataCellStyle="Currency"/>
    <tableColumn id="15" xr3:uid="{00000000-0010-0000-0600-00000F000000}" name="AECOM Allocation" dataCellStyle="Currency"/>
    <tableColumn id="22" xr3:uid="{00000000-0010-0000-0600-000016000000}" name="File1" dataDxfId="5" dataCellStyle="Currency"/>
    <tableColumn id="23" xr3:uid="{00000000-0010-0000-0600-000017000000}" name="Attachment1" dataDxfId="4" dataCellStyle="Currency">
      <calculatedColumnFormula>HYPERLINK(Table4[[#This Row],[File1]])</calculatedColumnFormula>
    </tableColumn>
    <tableColumn id="16" xr3:uid="{00000000-0010-0000-0600-000010000000}" name="1"/>
    <tableColumn id="24" xr3:uid="{00000000-0010-0000-0600-000018000000}" name="Attachment2" dataDxfId="3">
      <calculatedColumnFormula>HYPERLINK(Table4[[#This Row],[1]])</calculatedColumnFormula>
    </tableColumn>
    <tableColumn id="17" xr3:uid="{00000000-0010-0000-0600-000011000000}" name="2"/>
    <tableColumn id="25" xr3:uid="{00000000-0010-0000-0600-000019000000}" name="Attachment3" dataDxfId="2">
      <calculatedColumnFormula>HYPERLINK(Table4[[#This Row],[2]])</calculatedColumnFormula>
    </tableColumn>
    <tableColumn id="19" xr3:uid="{00000000-0010-0000-0600-000013000000}" name="4"/>
    <tableColumn id="27" xr3:uid="{00000000-0010-0000-0600-00001B000000}" name="Attachment4" dataDxfId="1">
      <calculatedColumnFormula>HYPERLINK(Table4[[#This Row],[4]])</calculatedColumnFormula>
    </tableColumn>
    <tableColumn id="20" xr3:uid="{00000000-0010-0000-0600-000014000000}" name="5"/>
    <tableColumn id="28" xr3:uid="{00000000-0010-0000-0600-00001C000000}" name="Attachment5" dataDxfId="0">
      <calculatedColumnFormula>HYPERLINK(Table4[[#This Row],[5]])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"/>
  <sheetViews>
    <sheetView zoomScaleNormal="100" workbookViewId="0">
      <selection activeCell="C19" sqref="C19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30" bestFit="1" customWidth="1"/>
    <col min="4" max="4" width="25.28515625" bestFit="1" customWidth="1"/>
    <col min="5" max="5" width="42.140625" customWidth="1"/>
    <col min="6" max="6" width="10.42578125" bestFit="1" customWidth="1"/>
    <col min="49" max="49" width="9.85546875" style="1" bestFit="1" customWidth="1"/>
    <col min="50" max="50" width="12" bestFit="1" customWidth="1"/>
  </cols>
  <sheetData>
    <row r="1" spans="1:57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</row>
    <row r="2" spans="1:57" x14ac:dyDescent="0.25">
      <c r="A2">
        <v>88000002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I2" t="s">
        <v>62</v>
      </c>
      <c r="J2" t="s">
        <v>62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530948</v>
      </c>
      <c r="X2" t="s">
        <v>63</v>
      </c>
      <c r="Y2" t="s">
        <v>64</v>
      </c>
      <c r="Z2">
        <v>45246</v>
      </c>
      <c r="AA2">
        <v>45291</v>
      </c>
      <c r="AB2">
        <v>5700</v>
      </c>
      <c r="AC2">
        <v>5700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63</v>
      </c>
      <c r="AL2" t="s">
        <v>63</v>
      </c>
      <c r="AN2" t="s">
        <v>62</v>
      </c>
      <c r="AO2" t="s">
        <v>62</v>
      </c>
      <c r="AT2" t="s">
        <v>63</v>
      </c>
      <c r="AU2" t="s">
        <v>63</v>
      </c>
      <c r="AV2" t="s">
        <v>63</v>
      </c>
      <c r="AW2" s="1">
        <v>45449.472071759257</v>
      </c>
      <c r="AX2" t="s">
        <v>65</v>
      </c>
      <c r="AY2" t="s">
        <v>66</v>
      </c>
      <c r="AZ2" t="s">
        <v>63</v>
      </c>
      <c r="BA2">
        <v>1</v>
      </c>
      <c r="BB2" t="s">
        <v>67</v>
      </c>
      <c r="BC2" t="s">
        <v>68</v>
      </c>
      <c r="BD2" t="s">
        <v>69</v>
      </c>
      <c r="BE2" t="s">
        <v>69</v>
      </c>
    </row>
    <row r="3" spans="1:57" x14ac:dyDescent="0.25">
      <c r="A3">
        <v>88001003</v>
      </c>
      <c r="B3" t="s">
        <v>57</v>
      </c>
      <c r="C3" t="s">
        <v>58</v>
      </c>
      <c r="D3" t="s">
        <v>70</v>
      </c>
      <c r="E3" t="s">
        <v>71</v>
      </c>
      <c r="F3" t="s">
        <v>61</v>
      </c>
      <c r="I3" t="s">
        <v>62</v>
      </c>
      <c r="J3" t="s">
        <v>62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63</v>
      </c>
      <c r="Y3" t="s">
        <v>64</v>
      </c>
      <c r="Z3">
        <v>45200</v>
      </c>
      <c r="AA3">
        <v>45291</v>
      </c>
      <c r="AB3">
        <v>268000</v>
      </c>
      <c r="AC3">
        <v>268000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63</v>
      </c>
      <c r="AL3" t="s">
        <v>63</v>
      </c>
      <c r="AN3" t="s">
        <v>62</v>
      </c>
      <c r="AO3" t="s">
        <v>62</v>
      </c>
      <c r="AT3" t="s">
        <v>63</v>
      </c>
      <c r="AU3" t="s">
        <v>63</v>
      </c>
      <c r="AV3" t="s">
        <v>63</v>
      </c>
      <c r="AW3" s="1">
        <v>45350.382800925923</v>
      </c>
      <c r="AX3" t="s">
        <v>63</v>
      </c>
      <c r="AY3" t="s">
        <v>66</v>
      </c>
      <c r="AZ3" t="s">
        <v>63</v>
      </c>
      <c r="BA3">
        <v>1</v>
      </c>
      <c r="BB3" t="s">
        <v>67</v>
      </c>
      <c r="BC3" t="s">
        <v>68</v>
      </c>
      <c r="BD3" t="s">
        <v>69</v>
      </c>
      <c r="BE3" t="s">
        <v>69</v>
      </c>
    </row>
    <row r="4" spans="1:57" x14ac:dyDescent="0.25">
      <c r="A4">
        <v>88001005</v>
      </c>
      <c r="B4" t="s">
        <v>72</v>
      </c>
      <c r="C4" t="s">
        <v>73</v>
      </c>
      <c r="D4" t="s">
        <v>74</v>
      </c>
      <c r="E4" t="s">
        <v>75</v>
      </c>
      <c r="F4" t="s">
        <v>61</v>
      </c>
      <c r="I4" t="s">
        <v>62</v>
      </c>
      <c r="J4" t="s">
        <v>62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63</v>
      </c>
      <c r="Y4" t="s">
        <v>76</v>
      </c>
      <c r="Z4">
        <v>45170</v>
      </c>
      <c r="AA4">
        <v>45260</v>
      </c>
      <c r="AB4">
        <v>49009</v>
      </c>
      <c r="AC4">
        <v>49009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63</v>
      </c>
      <c r="AL4" t="s">
        <v>63</v>
      </c>
      <c r="AN4" t="s">
        <v>62</v>
      </c>
      <c r="AO4" t="s">
        <v>62</v>
      </c>
      <c r="AT4" t="s">
        <v>63</v>
      </c>
      <c r="AU4" t="s">
        <v>63</v>
      </c>
      <c r="AV4" t="s">
        <v>63</v>
      </c>
      <c r="AW4" s="1">
        <v>45350.382314814808</v>
      </c>
      <c r="AX4" t="s">
        <v>63</v>
      </c>
      <c r="AY4" t="s">
        <v>66</v>
      </c>
      <c r="AZ4" t="s">
        <v>63</v>
      </c>
      <c r="BA4">
        <v>1</v>
      </c>
      <c r="BB4" t="s">
        <v>77</v>
      </c>
      <c r="BC4" t="s">
        <v>68</v>
      </c>
      <c r="BD4" t="s">
        <v>78</v>
      </c>
      <c r="BE4" t="s">
        <v>78</v>
      </c>
    </row>
    <row r="5" spans="1:57" x14ac:dyDescent="0.25">
      <c r="A5">
        <v>88001009</v>
      </c>
      <c r="B5" t="s">
        <v>79</v>
      </c>
      <c r="C5" t="s">
        <v>80</v>
      </c>
      <c r="D5" t="s">
        <v>81</v>
      </c>
      <c r="E5" t="s">
        <v>82</v>
      </c>
      <c r="F5" t="s">
        <v>61</v>
      </c>
      <c r="I5" t="s">
        <v>62</v>
      </c>
      <c r="J5" t="s">
        <v>62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63</v>
      </c>
      <c r="Y5" t="s">
        <v>76</v>
      </c>
      <c r="Z5">
        <v>45200</v>
      </c>
      <c r="AA5">
        <v>45291</v>
      </c>
      <c r="AB5">
        <v>5815</v>
      </c>
      <c r="AC5">
        <v>5815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63</v>
      </c>
      <c r="AL5" t="s">
        <v>63</v>
      </c>
      <c r="AN5" t="s">
        <v>62</v>
      </c>
      <c r="AO5" t="s">
        <v>62</v>
      </c>
      <c r="AT5" t="s">
        <v>63</v>
      </c>
      <c r="AU5" t="s">
        <v>63</v>
      </c>
      <c r="AV5" t="s">
        <v>63</v>
      </c>
      <c r="AW5" s="1">
        <v>45350.708043981482</v>
      </c>
      <c r="AX5" t="s">
        <v>63</v>
      </c>
      <c r="AY5" t="s">
        <v>66</v>
      </c>
      <c r="AZ5" t="s">
        <v>63</v>
      </c>
      <c r="BA5">
        <v>1</v>
      </c>
      <c r="BB5" t="s">
        <v>83</v>
      </c>
      <c r="BC5" t="s">
        <v>68</v>
      </c>
      <c r="BD5" t="s">
        <v>84</v>
      </c>
      <c r="BE5" t="s">
        <v>84</v>
      </c>
    </row>
    <row r="6" spans="1:57" x14ac:dyDescent="0.25">
      <c r="A6">
        <v>88001012</v>
      </c>
      <c r="B6" t="s">
        <v>57</v>
      </c>
      <c r="C6" t="s">
        <v>58</v>
      </c>
      <c r="D6" t="s">
        <v>85</v>
      </c>
      <c r="E6" t="s">
        <v>86</v>
      </c>
      <c r="F6" t="s">
        <v>61</v>
      </c>
      <c r="I6" t="s">
        <v>62</v>
      </c>
      <c r="J6" t="s">
        <v>62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63</v>
      </c>
      <c r="Y6" t="s">
        <v>64</v>
      </c>
      <c r="Z6">
        <v>45136</v>
      </c>
      <c r="AA6">
        <v>45226</v>
      </c>
      <c r="AB6">
        <v>34234</v>
      </c>
      <c r="AC6">
        <v>15683</v>
      </c>
      <c r="AD6">
        <v>0</v>
      </c>
      <c r="AE6">
        <v>0</v>
      </c>
      <c r="AF6">
        <v>4752</v>
      </c>
      <c r="AG6">
        <v>12852</v>
      </c>
      <c r="AH6">
        <v>1037</v>
      </c>
      <c r="AI6">
        <v>0</v>
      </c>
      <c r="AJ6">
        <v>0</v>
      </c>
      <c r="AK6" t="s">
        <v>63</v>
      </c>
      <c r="AL6" t="s">
        <v>63</v>
      </c>
      <c r="AN6" t="s">
        <v>62</v>
      </c>
      <c r="AO6" t="s">
        <v>62</v>
      </c>
      <c r="AT6" t="s">
        <v>63</v>
      </c>
      <c r="AU6" t="s">
        <v>63</v>
      </c>
      <c r="AV6" t="s">
        <v>63</v>
      </c>
      <c r="AW6" s="1">
        <v>45386.619456018518</v>
      </c>
      <c r="AX6" t="s">
        <v>65</v>
      </c>
      <c r="AY6" t="s">
        <v>66</v>
      </c>
      <c r="AZ6" t="s">
        <v>63</v>
      </c>
      <c r="BA6">
        <v>1</v>
      </c>
      <c r="BB6" t="s">
        <v>87</v>
      </c>
      <c r="BC6" t="s">
        <v>68</v>
      </c>
      <c r="BD6" t="s">
        <v>69</v>
      </c>
      <c r="BE6" t="s">
        <v>69</v>
      </c>
    </row>
    <row r="7" spans="1:57" x14ac:dyDescent="0.25">
      <c r="A7">
        <v>88001013</v>
      </c>
      <c r="B7" t="s">
        <v>57</v>
      </c>
      <c r="C7" t="s">
        <v>88</v>
      </c>
      <c r="D7" t="s">
        <v>89</v>
      </c>
      <c r="E7" t="s">
        <v>90</v>
      </c>
      <c r="F7" t="s">
        <v>61</v>
      </c>
      <c r="I7" t="s">
        <v>62</v>
      </c>
      <c r="J7" t="s">
        <v>62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63</v>
      </c>
      <c r="Y7" t="s">
        <v>64</v>
      </c>
      <c r="Z7">
        <v>45200</v>
      </c>
      <c r="AA7">
        <v>45291</v>
      </c>
      <c r="AB7">
        <v>373612</v>
      </c>
      <c r="AC7">
        <v>201097</v>
      </c>
      <c r="AD7">
        <v>4531</v>
      </c>
      <c r="AE7">
        <v>15221</v>
      </c>
      <c r="AF7">
        <v>21511</v>
      </c>
      <c r="AG7">
        <v>111899</v>
      </c>
      <c r="AH7">
        <v>16295</v>
      </c>
      <c r="AI7">
        <v>3058</v>
      </c>
      <c r="AJ7">
        <v>0</v>
      </c>
      <c r="AK7" t="s">
        <v>63</v>
      </c>
      <c r="AL7" t="s">
        <v>63</v>
      </c>
      <c r="AN7" t="s">
        <v>62</v>
      </c>
      <c r="AO7" t="s">
        <v>62</v>
      </c>
      <c r="AT7" t="s">
        <v>63</v>
      </c>
      <c r="AU7" t="s">
        <v>63</v>
      </c>
      <c r="AV7" t="s">
        <v>63</v>
      </c>
      <c r="AW7" s="1">
        <v>45386.618935185194</v>
      </c>
      <c r="AX7" t="s">
        <v>65</v>
      </c>
      <c r="AY7" t="s">
        <v>66</v>
      </c>
      <c r="AZ7" t="s">
        <v>63</v>
      </c>
      <c r="BA7">
        <v>1</v>
      </c>
      <c r="BB7" t="s">
        <v>91</v>
      </c>
      <c r="BC7" t="s">
        <v>68</v>
      </c>
      <c r="BD7" t="s">
        <v>69</v>
      </c>
      <c r="BE7" t="s">
        <v>69</v>
      </c>
    </row>
    <row r="8" spans="1:57" x14ac:dyDescent="0.25">
      <c r="A8">
        <v>88001014</v>
      </c>
      <c r="B8" t="s">
        <v>57</v>
      </c>
      <c r="C8" t="s">
        <v>58</v>
      </c>
      <c r="D8" t="s">
        <v>92</v>
      </c>
      <c r="E8" t="s">
        <v>93</v>
      </c>
      <c r="F8" t="s">
        <v>61</v>
      </c>
      <c r="I8" t="s">
        <v>62</v>
      </c>
      <c r="J8" t="s">
        <v>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63</v>
      </c>
      <c r="Y8" t="s">
        <v>64</v>
      </c>
      <c r="Z8">
        <v>45225</v>
      </c>
      <c r="AA8">
        <v>45225</v>
      </c>
      <c r="AB8">
        <v>37500</v>
      </c>
      <c r="AC8">
        <v>37500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63</v>
      </c>
      <c r="AL8" t="s">
        <v>63</v>
      </c>
      <c r="AN8" t="s">
        <v>62</v>
      </c>
      <c r="AO8" t="s">
        <v>62</v>
      </c>
      <c r="AT8" t="s">
        <v>63</v>
      </c>
      <c r="AU8" t="s">
        <v>63</v>
      </c>
      <c r="AV8" t="s">
        <v>63</v>
      </c>
      <c r="AW8" s="1">
        <v>45386.618437500001</v>
      </c>
      <c r="AX8" t="s">
        <v>65</v>
      </c>
      <c r="AY8" t="s">
        <v>66</v>
      </c>
      <c r="AZ8" t="s">
        <v>63</v>
      </c>
      <c r="BA8">
        <v>1</v>
      </c>
      <c r="BB8" t="s">
        <v>94</v>
      </c>
      <c r="BC8" t="s">
        <v>68</v>
      </c>
      <c r="BD8" t="s">
        <v>69</v>
      </c>
      <c r="BE8" t="s">
        <v>69</v>
      </c>
    </row>
    <row r="9" spans="1:57" x14ac:dyDescent="0.25">
      <c r="A9">
        <v>88002016</v>
      </c>
      <c r="B9" t="s">
        <v>57</v>
      </c>
      <c r="C9" t="s">
        <v>58</v>
      </c>
      <c r="D9" t="s">
        <v>95</v>
      </c>
      <c r="E9" t="s">
        <v>96</v>
      </c>
      <c r="F9" t="s">
        <v>61</v>
      </c>
      <c r="I9" t="s">
        <v>62</v>
      </c>
      <c r="J9" t="s">
        <v>62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63</v>
      </c>
      <c r="Y9" t="s">
        <v>64</v>
      </c>
      <c r="Z9">
        <v>45108</v>
      </c>
      <c r="AA9">
        <v>45199</v>
      </c>
      <c r="AB9">
        <v>30000</v>
      </c>
      <c r="AC9">
        <v>30000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63</v>
      </c>
      <c r="AL9" t="s">
        <v>63</v>
      </c>
      <c r="AN9" t="s">
        <v>62</v>
      </c>
      <c r="AO9" t="s">
        <v>62</v>
      </c>
      <c r="AT9" t="s">
        <v>63</v>
      </c>
      <c r="AU9" t="s">
        <v>63</v>
      </c>
      <c r="AV9" t="s">
        <v>63</v>
      </c>
      <c r="AW9" s="1">
        <v>45404.355868055558</v>
      </c>
      <c r="AX9" t="s">
        <v>65</v>
      </c>
      <c r="AY9" t="s">
        <v>66</v>
      </c>
      <c r="AZ9" t="s">
        <v>63</v>
      </c>
      <c r="BA9">
        <v>1</v>
      </c>
      <c r="BB9" t="s">
        <v>97</v>
      </c>
      <c r="BC9" t="s">
        <v>68</v>
      </c>
      <c r="BD9" t="s">
        <v>69</v>
      </c>
      <c r="BE9" t="s">
        <v>69</v>
      </c>
    </row>
    <row r="10" spans="1:57" x14ac:dyDescent="0.25">
      <c r="A10">
        <v>88002020</v>
      </c>
      <c r="B10" t="s">
        <v>98</v>
      </c>
      <c r="C10" t="s">
        <v>73</v>
      </c>
      <c r="D10" t="s">
        <v>99</v>
      </c>
      <c r="E10" t="s">
        <v>100</v>
      </c>
      <c r="F10" t="s">
        <v>61</v>
      </c>
      <c r="I10" t="s">
        <v>62</v>
      </c>
      <c r="J10" t="s">
        <v>62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9472753</v>
      </c>
      <c r="X10" t="s">
        <v>63</v>
      </c>
      <c r="Y10" t="s">
        <v>76</v>
      </c>
      <c r="Z10">
        <v>45047</v>
      </c>
      <c r="AA10">
        <v>45413</v>
      </c>
      <c r="AB10">
        <v>58946</v>
      </c>
      <c r="AC10">
        <v>58946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63</v>
      </c>
      <c r="AL10" t="s">
        <v>63</v>
      </c>
      <c r="AN10" t="s">
        <v>62</v>
      </c>
      <c r="AO10" t="s">
        <v>62</v>
      </c>
      <c r="AT10" t="s">
        <v>63</v>
      </c>
      <c r="AU10" t="s">
        <v>63</v>
      </c>
      <c r="AV10" t="s">
        <v>63</v>
      </c>
      <c r="AW10" s="1">
        <v>45413.716504629629</v>
      </c>
      <c r="AX10" t="s">
        <v>65</v>
      </c>
      <c r="AY10" t="s">
        <v>66</v>
      </c>
      <c r="AZ10" t="s">
        <v>63</v>
      </c>
      <c r="BA10">
        <v>1</v>
      </c>
      <c r="BB10" t="s">
        <v>101</v>
      </c>
      <c r="BC10" t="s">
        <v>102</v>
      </c>
      <c r="BD10" t="s">
        <v>103</v>
      </c>
      <c r="BE10" t="s">
        <v>103</v>
      </c>
    </row>
    <row r="11" spans="1:57" x14ac:dyDescent="0.25">
      <c r="A11">
        <v>88002021</v>
      </c>
      <c r="B11" t="s">
        <v>98</v>
      </c>
      <c r="C11" t="s">
        <v>73</v>
      </c>
      <c r="D11" t="s">
        <v>99</v>
      </c>
      <c r="E11" t="s">
        <v>104</v>
      </c>
      <c r="F11" t="s">
        <v>61</v>
      </c>
      <c r="I11" t="s">
        <v>62</v>
      </c>
      <c r="J11" t="s">
        <v>62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9469957</v>
      </c>
      <c r="X11" t="s">
        <v>63</v>
      </c>
      <c r="Y11" t="s">
        <v>76</v>
      </c>
      <c r="Z11">
        <v>45109</v>
      </c>
      <c r="AA11">
        <v>45290</v>
      </c>
      <c r="AB11">
        <v>63777</v>
      </c>
      <c r="AC11">
        <v>63777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63</v>
      </c>
      <c r="AL11" t="s">
        <v>63</v>
      </c>
      <c r="AN11" t="s">
        <v>62</v>
      </c>
      <c r="AO11" t="s">
        <v>62</v>
      </c>
      <c r="AT11" t="s">
        <v>63</v>
      </c>
      <c r="AU11" t="s">
        <v>63</v>
      </c>
      <c r="AV11" t="s">
        <v>63</v>
      </c>
      <c r="AW11" s="1">
        <v>45419.383263888893</v>
      </c>
      <c r="AX11" t="s">
        <v>65</v>
      </c>
      <c r="AY11" t="s">
        <v>66</v>
      </c>
      <c r="AZ11" t="s">
        <v>63</v>
      </c>
      <c r="BA11">
        <v>1</v>
      </c>
      <c r="BB11" t="s">
        <v>101</v>
      </c>
      <c r="BC11" t="s">
        <v>102</v>
      </c>
      <c r="BD11" t="s">
        <v>103</v>
      </c>
      <c r="BE11" t="s">
        <v>103</v>
      </c>
    </row>
    <row r="12" spans="1:57" x14ac:dyDescent="0.25">
      <c r="A12">
        <v>88002022</v>
      </c>
      <c r="B12" t="s">
        <v>57</v>
      </c>
      <c r="C12" t="s">
        <v>58</v>
      </c>
      <c r="D12" t="s">
        <v>105</v>
      </c>
      <c r="E12" t="s">
        <v>106</v>
      </c>
      <c r="F12" t="s">
        <v>61</v>
      </c>
      <c r="I12" t="s">
        <v>62</v>
      </c>
      <c r="J12" t="s">
        <v>62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63</v>
      </c>
      <c r="Y12" t="s">
        <v>64</v>
      </c>
      <c r="Z12">
        <v>45292</v>
      </c>
      <c r="AA12">
        <v>45382</v>
      </c>
      <c r="AB12">
        <v>53243</v>
      </c>
      <c r="AC12">
        <v>46905</v>
      </c>
      <c r="AD12">
        <v>0</v>
      </c>
      <c r="AE12">
        <v>0</v>
      </c>
      <c r="AF12">
        <v>2901</v>
      </c>
      <c r="AG12">
        <v>3437</v>
      </c>
      <c r="AH12">
        <v>0</v>
      </c>
      <c r="AI12">
        <v>0</v>
      </c>
      <c r="AJ12">
        <v>0</v>
      </c>
      <c r="AK12" t="s">
        <v>63</v>
      </c>
      <c r="AL12" t="s">
        <v>63</v>
      </c>
      <c r="AN12" t="s">
        <v>62</v>
      </c>
      <c r="AO12" t="s">
        <v>62</v>
      </c>
      <c r="AT12" t="s">
        <v>63</v>
      </c>
      <c r="AU12" t="s">
        <v>63</v>
      </c>
      <c r="AV12" t="s">
        <v>63</v>
      </c>
      <c r="AW12" s="1">
        <v>45420.475798611107</v>
      </c>
      <c r="AX12" t="s">
        <v>65</v>
      </c>
      <c r="AY12" t="s">
        <v>66</v>
      </c>
      <c r="AZ12" t="s">
        <v>107</v>
      </c>
      <c r="BA12">
        <v>1</v>
      </c>
      <c r="BB12" t="s">
        <v>108</v>
      </c>
      <c r="BC12" t="s">
        <v>68</v>
      </c>
      <c r="BD12" t="s">
        <v>69</v>
      </c>
      <c r="BE12" t="s">
        <v>69</v>
      </c>
    </row>
    <row r="13" spans="1:57" x14ac:dyDescent="0.25">
      <c r="A13">
        <v>88002023</v>
      </c>
      <c r="B13" t="s">
        <v>57</v>
      </c>
      <c r="C13" t="s">
        <v>58</v>
      </c>
      <c r="D13" t="s">
        <v>109</v>
      </c>
      <c r="E13" t="s">
        <v>110</v>
      </c>
      <c r="F13" t="s">
        <v>61</v>
      </c>
      <c r="I13" t="s">
        <v>62</v>
      </c>
      <c r="J13" t="s">
        <v>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63</v>
      </c>
      <c r="Y13" t="s">
        <v>64</v>
      </c>
      <c r="Z13">
        <v>45200</v>
      </c>
      <c r="AA13">
        <v>45291</v>
      </c>
      <c r="AB13">
        <v>128850</v>
      </c>
      <c r="AC13">
        <v>82350</v>
      </c>
      <c r="AD13">
        <v>0</v>
      </c>
      <c r="AE13">
        <v>0</v>
      </c>
      <c r="AF13">
        <v>6600</v>
      </c>
      <c r="AG13">
        <v>19200</v>
      </c>
      <c r="AH13">
        <v>20700</v>
      </c>
      <c r="AI13">
        <v>0</v>
      </c>
      <c r="AJ13">
        <v>0</v>
      </c>
      <c r="AK13" t="s">
        <v>63</v>
      </c>
      <c r="AL13" t="s">
        <v>63</v>
      </c>
      <c r="AN13" t="s">
        <v>62</v>
      </c>
      <c r="AO13" t="s">
        <v>62</v>
      </c>
      <c r="AT13" t="s">
        <v>63</v>
      </c>
      <c r="AU13" t="s">
        <v>63</v>
      </c>
      <c r="AV13" t="s">
        <v>63</v>
      </c>
      <c r="AW13" s="1">
        <v>45447.434594907398</v>
      </c>
      <c r="AX13" t="s">
        <v>65</v>
      </c>
      <c r="AY13" t="s">
        <v>66</v>
      </c>
      <c r="AZ13" t="s">
        <v>63</v>
      </c>
      <c r="BA13">
        <v>1</v>
      </c>
      <c r="BB13" t="s">
        <v>94</v>
      </c>
      <c r="BC13" t="s">
        <v>68</v>
      </c>
      <c r="BD13" t="s">
        <v>69</v>
      </c>
      <c r="BE13" t="s">
        <v>69</v>
      </c>
    </row>
    <row r="14" spans="1:57" x14ac:dyDescent="0.25">
      <c r="A14">
        <v>88002024</v>
      </c>
      <c r="B14" t="s">
        <v>57</v>
      </c>
      <c r="C14" t="s">
        <v>58</v>
      </c>
      <c r="D14" t="s">
        <v>70</v>
      </c>
      <c r="E14" t="s">
        <v>111</v>
      </c>
      <c r="F14" t="s">
        <v>61</v>
      </c>
      <c r="I14" t="s">
        <v>62</v>
      </c>
      <c r="J14" t="s">
        <v>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63</v>
      </c>
      <c r="Y14" t="s">
        <v>64</v>
      </c>
      <c r="Z14">
        <v>45292</v>
      </c>
      <c r="AA14">
        <v>45382</v>
      </c>
      <c r="AB14">
        <v>85000</v>
      </c>
      <c r="AC14">
        <v>85000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63</v>
      </c>
      <c r="AL14" t="s">
        <v>63</v>
      </c>
      <c r="AN14" t="s">
        <v>62</v>
      </c>
      <c r="AO14" t="s">
        <v>62</v>
      </c>
      <c r="AT14" t="s">
        <v>63</v>
      </c>
      <c r="AU14" t="s">
        <v>63</v>
      </c>
      <c r="AV14" t="s">
        <v>63</v>
      </c>
      <c r="AW14" s="1">
        <v>45449.470439814817</v>
      </c>
      <c r="AX14" t="s">
        <v>65</v>
      </c>
      <c r="AY14" t="s">
        <v>66</v>
      </c>
      <c r="AZ14" t="s">
        <v>63</v>
      </c>
      <c r="BA14">
        <v>1</v>
      </c>
      <c r="BB14" t="s">
        <v>67</v>
      </c>
      <c r="BC14" t="s">
        <v>68</v>
      </c>
      <c r="BD14" t="s">
        <v>69</v>
      </c>
      <c r="BE14" t="s">
        <v>69</v>
      </c>
    </row>
    <row r="15" spans="1:57" x14ac:dyDescent="0.25">
      <c r="A15">
        <v>88002028</v>
      </c>
      <c r="B15" t="s">
        <v>57</v>
      </c>
      <c r="C15" t="s">
        <v>58</v>
      </c>
      <c r="D15" t="s">
        <v>112</v>
      </c>
      <c r="E15" t="s">
        <v>113</v>
      </c>
      <c r="F15" t="s">
        <v>61</v>
      </c>
      <c r="I15" t="s">
        <v>62</v>
      </c>
      <c r="J15" t="s">
        <v>62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63</v>
      </c>
      <c r="Y15" t="s">
        <v>64</v>
      </c>
      <c r="Z15">
        <v>45250</v>
      </c>
      <c r="AA15">
        <v>45291</v>
      </c>
      <c r="AB15">
        <v>9500</v>
      </c>
      <c r="AC15">
        <v>9500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63</v>
      </c>
      <c r="AL15" t="s">
        <v>63</v>
      </c>
      <c r="AN15" t="s">
        <v>62</v>
      </c>
      <c r="AO15" t="s">
        <v>62</v>
      </c>
      <c r="AT15" t="s">
        <v>63</v>
      </c>
      <c r="AU15" t="s">
        <v>63</v>
      </c>
      <c r="AV15" t="s">
        <v>63</v>
      </c>
      <c r="AW15" s="1">
        <v>45449.472384259258</v>
      </c>
      <c r="AX15" t="s">
        <v>65</v>
      </c>
      <c r="AY15" t="s">
        <v>66</v>
      </c>
      <c r="AZ15" t="s">
        <v>63</v>
      </c>
      <c r="BA15">
        <v>1</v>
      </c>
      <c r="BB15" t="s">
        <v>114</v>
      </c>
      <c r="BC15" t="s">
        <v>68</v>
      </c>
      <c r="BD15" t="s">
        <v>69</v>
      </c>
      <c r="BE15" t="s">
        <v>69</v>
      </c>
    </row>
  </sheetData>
  <autoFilter ref="A1:BE15" xr:uid="{00000000-0009-0000-0000-000000000000}">
    <sortState xmlns:xlrd2="http://schemas.microsoft.com/office/spreadsheetml/2017/richdata2" ref="A2:BE15">
      <sortCondition ref="A1:A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workbookViewId="0">
      <selection activeCell="C37" sqref="C37"/>
    </sheetView>
  </sheetViews>
  <sheetFormatPr defaultRowHeight="15" x14ac:dyDescent="0.25"/>
  <cols>
    <col min="1" max="1" width="10.42578125" bestFit="1" customWidth="1"/>
    <col min="2" max="2" width="60.85546875" customWidth="1"/>
    <col min="3" max="3" width="12.85546875" bestFit="1" customWidth="1"/>
    <col min="8" max="8" width="18.28515625" style="1" bestFit="1" customWidth="1"/>
    <col min="10" max="10" width="14.42578125" bestFit="1" customWidth="1"/>
    <col min="11" max="11" width="16.28515625" style="2" bestFit="1" customWidth="1"/>
    <col min="12" max="12" width="13.140625" style="2" bestFit="1" customWidth="1"/>
    <col min="13" max="13" width="14.5703125" style="2" bestFit="1" customWidth="1"/>
    <col min="14" max="14" width="15.140625" style="2" bestFit="1" customWidth="1"/>
    <col min="15" max="15" width="14.5703125" style="2" bestFit="1" customWidth="1"/>
    <col min="16" max="16" width="13.85546875" style="2" bestFit="1" customWidth="1"/>
    <col min="17" max="17" width="14.7109375" style="2" bestFit="1" customWidth="1"/>
    <col min="18" max="18" width="13.140625" style="2" bestFit="1" customWidth="1"/>
    <col min="19" max="19" width="12.85546875" style="2" bestFit="1" customWidth="1"/>
    <col min="20" max="20" width="91.5703125" customWidth="1"/>
  </cols>
  <sheetData>
    <row r="1" spans="1:20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s="1" t="s">
        <v>121</v>
      </c>
      <c r="I1" t="s">
        <v>122</v>
      </c>
      <c r="J1" t="s">
        <v>123</v>
      </c>
      <c r="K1" s="2" t="s">
        <v>124</v>
      </c>
      <c r="L1" s="2" t="s">
        <v>125</v>
      </c>
      <c r="M1" s="2" t="s">
        <v>126</v>
      </c>
      <c r="N1" s="2" t="s">
        <v>127</v>
      </c>
      <c r="O1" s="2" t="s">
        <v>128</v>
      </c>
      <c r="P1" s="2" t="s">
        <v>129</v>
      </c>
      <c r="Q1" s="2" t="s">
        <v>130</v>
      </c>
      <c r="R1" s="2" t="s">
        <v>131</v>
      </c>
      <c r="S1" s="2" t="s">
        <v>132</v>
      </c>
      <c r="T1" t="s">
        <v>133</v>
      </c>
    </row>
    <row r="2" spans="1:20" x14ac:dyDescent="0.25">
      <c r="A2">
        <v>88002034</v>
      </c>
      <c r="B2" t="s">
        <v>134</v>
      </c>
      <c r="C2" t="s">
        <v>64</v>
      </c>
      <c r="D2" t="s">
        <v>135</v>
      </c>
      <c r="E2" t="s">
        <v>136</v>
      </c>
      <c r="F2" t="s">
        <v>68</v>
      </c>
      <c r="G2" t="s">
        <v>137</v>
      </c>
      <c r="H2" s="1">
        <v>45441</v>
      </c>
      <c r="I2" t="s">
        <v>63</v>
      </c>
      <c r="J2" t="s">
        <v>138</v>
      </c>
      <c r="K2" s="2">
        <v>476022</v>
      </c>
      <c r="L2" s="2">
        <v>95810</v>
      </c>
      <c r="M2" s="2">
        <v>1577</v>
      </c>
      <c r="N2" s="2">
        <v>0</v>
      </c>
      <c r="O2" s="2">
        <v>1487</v>
      </c>
      <c r="P2" s="2">
        <v>3640</v>
      </c>
      <c r="Q2" s="2">
        <v>2419</v>
      </c>
      <c r="R2" s="2">
        <v>0</v>
      </c>
      <c r="S2" s="2">
        <v>371089</v>
      </c>
      <c r="T2" t="s">
        <v>139</v>
      </c>
    </row>
    <row r="3" spans="1:20" x14ac:dyDescent="0.25">
      <c r="A3">
        <v>88002034</v>
      </c>
      <c r="B3" t="s">
        <v>134</v>
      </c>
      <c r="C3" t="s">
        <v>64</v>
      </c>
      <c r="D3" t="s">
        <v>135</v>
      </c>
      <c r="E3" t="s">
        <v>136</v>
      </c>
      <c r="F3" t="s">
        <v>68</v>
      </c>
      <c r="G3" t="s">
        <v>137</v>
      </c>
      <c r="H3" s="1">
        <v>45441</v>
      </c>
      <c r="I3" t="s">
        <v>63</v>
      </c>
      <c r="J3" t="s">
        <v>138</v>
      </c>
      <c r="K3" s="2">
        <v>476022</v>
      </c>
      <c r="L3" s="2">
        <v>95810</v>
      </c>
      <c r="M3" s="2">
        <v>1577</v>
      </c>
      <c r="N3" s="2">
        <v>0</v>
      </c>
      <c r="O3" s="2">
        <v>1487</v>
      </c>
      <c r="P3" s="2">
        <v>3640</v>
      </c>
      <c r="Q3" s="2">
        <v>2419</v>
      </c>
      <c r="R3" s="2">
        <v>0</v>
      </c>
      <c r="S3" s="2">
        <v>371089</v>
      </c>
      <c r="T3" t="s">
        <v>140</v>
      </c>
    </row>
    <row r="4" spans="1:20" x14ac:dyDescent="0.25">
      <c r="A4">
        <v>88002034</v>
      </c>
      <c r="B4" t="s">
        <v>134</v>
      </c>
      <c r="C4" t="s">
        <v>64</v>
      </c>
      <c r="D4" t="s">
        <v>135</v>
      </c>
      <c r="E4" t="s">
        <v>136</v>
      </c>
      <c r="F4" t="s">
        <v>68</v>
      </c>
      <c r="G4" t="s">
        <v>137</v>
      </c>
      <c r="H4" s="1">
        <v>45441</v>
      </c>
      <c r="I4" t="s">
        <v>63</v>
      </c>
      <c r="J4" t="s">
        <v>138</v>
      </c>
      <c r="K4" s="2">
        <v>476022</v>
      </c>
      <c r="L4" s="2">
        <v>95810</v>
      </c>
      <c r="M4" s="2">
        <v>1577</v>
      </c>
      <c r="N4" s="2">
        <v>0</v>
      </c>
      <c r="O4" s="2">
        <v>1487</v>
      </c>
      <c r="P4" s="2">
        <v>3640</v>
      </c>
      <c r="Q4" s="2">
        <v>2419</v>
      </c>
      <c r="R4" s="2">
        <v>0</v>
      </c>
      <c r="S4" s="2">
        <v>371089</v>
      </c>
      <c r="T4" t="s">
        <v>141</v>
      </c>
    </row>
    <row r="5" spans="1:20" x14ac:dyDescent="0.25">
      <c r="A5">
        <v>88002038</v>
      </c>
      <c r="B5" t="s">
        <v>142</v>
      </c>
      <c r="C5" t="s">
        <v>64</v>
      </c>
      <c r="D5" t="s">
        <v>135</v>
      </c>
      <c r="E5" t="s">
        <v>73</v>
      </c>
      <c r="F5" t="s">
        <v>68</v>
      </c>
      <c r="G5" t="s">
        <v>137</v>
      </c>
      <c r="H5" s="1">
        <v>45378</v>
      </c>
      <c r="I5" t="s">
        <v>63</v>
      </c>
      <c r="J5" t="s">
        <v>138</v>
      </c>
      <c r="K5" s="2">
        <v>17518</v>
      </c>
      <c r="L5" s="2">
        <v>12678</v>
      </c>
      <c r="M5" s="2">
        <v>0</v>
      </c>
      <c r="N5" s="2">
        <v>511</v>
      </c>
      <c r="O5" s="2">
        <v>1951</v>
      </c>
      <c r="P5" s="2">
        <v>2378</v>
      </c>
      <c r="Q5" s="2">
        <v>0</v>
      </c>
      <c r="R5" s="2">
        <v>0</v>
      </c>
      <c r="S5" s="2">
        <v>0</v>
      </c>
      <c r="T5" t="s">
        <v>143</v>
      </c>
    </row>
    <row r="6" spans="1:20" x14ac:dyDescent="0.25">
      <c r="A6">
        <v>88002038</v>
      </c>
      <c r="B6" t="s">
        <v>142</v>
      </c>
      <c r="C6" t="s">
        <v>64</v>
      </c>
      <c r="D6" t="s">
        <v>135</v>
      </c>
      <c r="E6" t="s">
        <v>73</v>
      </c>
      <c r="F6" t="s">
        <v>68</v>
      </c>
      <c r="G6" t="s">
        <v>137</v>
      </c>
      <c r="H6" s="1">
        <v>45378</v>
      </c>
      <c r="I6" t="s">
        <v>63</v>
      </c>
      <c r="J6" t="s">
        <v>138</v>
      </c>
      <c r="K6" s="2">
        <v>17518</v>
      </c>
      <c r="L6" s="2">
        <v>12678</v>
      </c>
      <c r="M6" s="2">
        <v>0</v>
      </c>
      <c r="N6" s="2">
        <v>511</v>
      </c>
      <c r="O6" s="2">
        <v>1951</v>
      </c>
      <c r="P6" s="2">
        <v>2378</v>
      </c>
      <c r="Q6" s="2">
        <v>0</v>
      </c>
      <c r="R6" s="2">
        <v>0</v>
      </c>
      <c r="S6" s="2">
        <v>0</v>
      </c>
      <c r="T6" t="s">
        <v>144</v>
      </c>
    </row>
    <row r="7" spans="1:20" x14ac:dyDescent="0.25">
      <c r="A7">
        <v>88002040</v>
      </c>
      <c r="B7" t="s">
        <v>145</v>
      </c>
      <c r="C7" t="s">
        <v>64</v>
      </c>
      <c r="D7" t="s">
        <v>135</v>
      </c>
      <c r="E7" t="s">
        <v>88</v>
      </c>
      <c r="F7" t="s">
        <v>68</v>
      </c>
      <c r="G7" t="s">
        <v>137</v>
      </c>
      <c r="H7" s="1">
        <v>45434</v>
      </c>
      <c r="I7" t="s">
        <v>63</v>
      </c>
      <c r="J7" t="s">
        <v>138</v>
      </c>
      <c r="K7" s="2">
        <v>177257</v>
      </c>
      <c r="L7" s="2">
        <v>127598</v>
      </c>
      <c r="M7" s="2">
        <v>8</v>
      </c>
      <c r="N7" s="2">
        <v>0</v>
      </c>
      <c r="O7" s="2">
        <v>0</v>
      </c>
      <c r="P7" s="2">
        <v>13520</v>
      </c>
      <c r="Q7" s="2">
        <v>688</v>
      </c>
      <c r="R7" s="2">
        <v>0</v>
      </c>
      <c r="S7" s="2">
        <v>35443</v>
      </c>
      <c r="T7" t="s">
        <v>146</v>
      </c>
    </row>
    <row r="8" spans="1:20" x14ac:dyDescent="0.25">
      <c r="A8">
        <v>88002040</v>
      </c>
      <c r="B8" t="s">
        <v>145</v>
      </c>
      <c r="C8" t="s">
        <v>64</v>
      </c>
      <c r="D8" t="s">
        <v>135</v>
      </c>
      <c r="E8" t="s">
        <v>88</v>
      </c>
      <c r="F8" t="s">
        <v>68</v>
      </c>
      <c r="G8" t="s">
        <v>137</v>
      </c>
      <c r="H8" s="1">
        <v>45434</v>
      </c>
      <c r="I8" t="s">
        <v>63</v>
      </c>
      <c r="J8" t="s">
        <v>138</v>
      </c>
      <c r="K8" s="2">
        <v>177257</v>
      </c>
      <c r="L8" s="2">
        <v>127598</v>
      </c>
      <c r="M8" s="2">
        <v>8</v>
      </c>
      <c r="N8" s="2">
        <v>0</v>
      </c>
      <c r="O8" s="2">
        <v>0</v>
      </c>
      <c r="P8" s="2">
        <v>13520</v>
      </c>
      <c r="Q8" s="2">
        <v>688</v>
      </c>
      <c r="R8" s="2">
        <v>0</v>
      </c>
      <c r="S8" s="2">
        <v>35443</v>
      </c>
      <c r="T8" t="s">
        <v>147</v>
      </c>
    </row>
    <row r="9" spans="1:20" x14ac:dyDescent="0.25">
      <c r="A9">
        <v>88002040</v>
      </c>
      <c r="B9" t="s">
        <v>145</v>
      </c>
      <c r="C9" t="s">
        <v>64</v>
      </c>
      <c r="D9" t="s">
        <v>135</v>
      </c>
      <c r="E9" t="s">
        <v>88</v>
      </c>
      <c r="F9" t="s">
        <v>68</v>
      </c>
      <c r="G9" t="s">
        <v>137</v>
      </c>
      <c r="H9" s="1">
        <v>45434</v>
      </c>
      <c r="I9" t="s">
        <v>63</v>
      </c>
      <c r="J9" t="s">
        <v>138</v>
      </c>
      <c r="K9" s="2">
        <v>177257</v>
      </c>
      <c r="L9" s="2">
        <v>127598</v>
      </c>
      <c r="M9" s="2">
        <v>8</v>
      </c>
      <c r="N9" s="2">
        <v>0</v>
      </c>
      <c r="O9" s="2">
        <v>0</v>
      </c>
      <c r="P9" s="2">
        <v>13520</v>
      </c>
      <c r="Q9" s="2">
        <v>688</v>
      </c>
      <c r="R9" s="2">
        <v>0</v>
      </c>
      <c r="S9" s="2">
        <v>35443</v>
      </c>
      <c r="T9" t="s">
        <v>148</v>
      </c>
    </row>
    <row r="10" spans="1:20" x14ac:dyDescent="0.25">
      <c r="A10">
        <v>88002040</v>
      </c>
      <c r="B10" t="s">
        <v>145</v>
      </c>
      <c r="C10" t="s">
        <v>64</v>
      </c>
      <c r="D10" t="s">
        <v>135</v>
      </c>
      <c r="E10" t="s">
        <v>88</v>
      </c>
      <c r="F10" t="s">
        <v>68</v>
      </c>
      <c r="G10" t="s">
        <v>137</v>
      </c>
      <c r="H10" s="1">
        <v>45434</v>
      </c>
      <c r="I10" t="s">
        <v>63</v>
      </c>
      <c r="J10" t="s">
        <v>138</v>
      </c>
      <c r="K10" s="2">
        <v>177257</v>
      </c>
      <c r="L10" s="2">
        <v>127598</v>
      </c>
      <c r="M10" s="2">
        <v>8</v>
      </c>
      <c r="N10" s="2">
        <v>0</v>
      </c>
      <c r="O10" s="2">
        <v>0</v>
      </c>
      <c r="P10" s="2">
        <v>13520</v>
      </c>
      <c r="Q10" s="2">
        <v>688</v>
      </c>
      <c r="R10" s="2">
        <v>0</v>
      </c>
      <c r="S10" s="2">
        <v>35443</v>
      </c>
      <c r="T10" t="s">
        <v>149</v>
      </c>
    </row>
    <row r="11" spans="1:20" x14ac:dyDescent="0.25">
      <c r="A11">
        <v>88002043</v>
      </c>
      <c r="B11" t="s">
        <v>150</v>
      </c>
      <c r="C11" t="s">
        <v>76</v>
      </c>
      <c r="D11" t="s">
        <v>151</v>
      </c>
      <c r="E11" t="s">
        <v>80</v>
      </c>
      <c r="F11" t="s">
        <v>68</v>
      </c>
      <c r="G11" t="s">
        <v>152</v>
      </c>
      <c r="H11" s="1">
        <v>45462</v>
      </c>
      <c r="I11" t="s">
        <v>153</v>
      </c>
      <c r="J11" t="s">
        <v>154</v>
      </c>
      <c r="K11" s="2">
        <v>123054</v>
      </c>
      <c r="L11" s="2">
        <v>46645</v>
      </c>
      <c r="M11" s="2">
        <v>0</v>
      </c>
      <c r="N11" s="2">
        <v>2772</v>
      </c>
      <c r="O11" s="2">
        <v>3046</v>
      </c>
      <c r="P11" s="2">
        <v>8686</v>
      </c>
      <c r="Q11" s="2">
        <v>29373</v>
      </c>
      <c r="R11" s="2">
        <v>11026</v>
      </c>
      <c r="S11" s="2">
        <v>21505</v>
      </c>
      <c r="T11" t="s">
        <v>155</v>
      </c>
    </row>
    <row r="12" spans="1:20" x14ac:dyDescent="0.25">
      <c r="A12">
        <v>88002043</v>
      </c>
      <c r="B12" t="s">
        <v>150</v>
      </c>
      <c r="C12" t="s">
        <v>76</v>
      </c>
      <c r="D12" t="s">
        <v>151</v>
      </c>
      <c r="E12" t="s">
        <v>80</v>
      </c>
      <c r="F12" t="s">
        <v>68</v>
      </c>
      <c r="G12" t="s">
        <v>152</v>
      </c>
      <c r="H12" s="1">
        <v>45462</v>
      </c>
      <c r="I12" t="s">
        <v>153</v>
      </c>
      <c r="J12" t="s">
        <v>154</v>
      </c>
      <c r="K12" s="2">
        <v>123054</v>
      </c>
      <c r="L12" s="2">
        <v>46645</v>
      </c>
      <c r="M12" s="2">
        <v>0</v>
      </c>
      <c r="N12" s="2">
        <v>2772</v>
      </c>
      <c r="O12" s="2">
        <v>3046</v>
      </c>
      <c r="P12" s="2">
        <v>8686</v>
      </c>
      <c r="Q12" s="2">
        <v>29373</v>
      </c>
      <c r="R12" s="2">
        <v>11026</v>
      </c>
      <c r="S12" s="2">
        <v>21505</v>
      </c>
      <c r="T12" t="s">
        <v>156</v>
      </c>
    </row>
    <row r="13" spans="1:20" x14ac:dyDescent="0.25">
      <c r="A13">
        <v>88002043</v>
      </c>
      <c r="B13" t="s">
        <v>150</v>
      </c>
      <c r="C13" t="s">
        <v>76</v>
      </c>
      <c r="D13" t="s">
        <v>151</v>
      </c>
      <c r="E13" t="s">
        <v>80</v>
      </c>
      <c r="F13" t="s">
        <v>68</v>
      </c>
      <c r="G13" t="s">
        <v>152</v>
      </c>
      <c r="H13" s="1">
        <v>45462</v>
      </c>
      <c r="I13" t="s">
        <v>153</v>
      </c>
      <c r="J13" t="s">
        <v>154</v>
      </c>
      <c r="K13" s="2">
        <v>123054</v>
      </c>
      <c r="L13" s="2">
        <v>46645</v>
      </c>
      <c r="M13" s="2">
        <v>0</v>
      </c>
      <c r="N13" s="2">
        <v>2772</v>
      </c>
      <c r="O13" s="2">
        <v>3046</v>
      </c>
      <c r="P13" s="2">
        <v>8686</v>
      </c>
      <c r="Q13" s="2">
        <v>29373</v>
      </c>
      <c r="R13" s="2">
        <v>11026</v>
      </c>
      <c r="S13" s="2">
        <v>21505</v>
      </c>
      <c r="T13" t="s">
        <v>157</v>
      </c>
    </row>
    <row r="14" spans="1:20" x14ac:dyDescent="0.25">
      <c r="A14">
        <v>88002045</v>
      </c>
      <c r="B14" t="s">
        <v>158</v>
      </c>
      <c r="C14" t="s">
        <v>76</v>
      </c>
      <c r="D14" t="s">
        <v>159</v>
      </c>
      <c r="E14" t="s">
        <v>58</v>
      </c>
      <c r="F14" t="s">
        <v>68</v>
      </c>
      <c r="G14" t="s">
        <v>87</v>
      </c>
      <c r="H14" s="1">
        <v>45492</v>
      </c>
      <c r="I14" t="s">
        <v>153</v>
      </c>
      <c r="J14" t="s">
        <v>160</v>
      </c>
      <c r="K14" s="2">
        <v>4200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100</v>
      </c>
      <c r="R14" s="2">
        <v>300</v>
      </c>
      <c r="S14" s="2">
        <v>3800</v>
      </c>
      <c r="T14" t="s">
        <v>161</v>
      </c>
    </row>
    <row r="15" spans="1:20" x14ac:dyDescent="0.25">
      <c r="A15">
        <v>88002045</v>
      </c>
      <c r="B15" t="s">
        <v>158</v>
      </c>
      <c r="C15" t="s">
        <v>76</v>
      </c>
      <c r="D15" t="s">
        <v>159</v>
      </c>
      <c r="E15" t="s">
        <v>58</v>
      </c>
      <c r="F15" t="s">
        <v>68</v>
      </c>
      <c r="G15" t="s">
        <v>87</v>
      </c>
      <c r="H15" s="1">
        <v>45492</v>
      </c>
      <c r="I15" t="s">
        <v>153</v>
      </c>
      <c r="J15" t="s">
        <v>160</v>
      </c>
      <c r="K15" s="2">
        <v>4200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100</v>
      </c>
      <c r="R15" s="2">
        <v>300</v>
      </c>
      <c r="S15" s="2">
        <v>3800</v>
      </c>
      <c r="T15" t="s">
        <v>162</v>
      </c>
    </row>
    <row r="16" spans="1:20" x14ac:dyDescent="0.25">
      <c r="A16">
        <v>88002045</v>
      </c>
      <c r="B16" t="s">
        <v>158</v>
      </c>
      <c r="C16" t="s">
        <v>76</v>
      </c>
      <c r="D16" t="s">
        <v>159</v>
      </c>
      <c r="E16" t="s">
        <v>58</v>
      </c>
      <c r="F16" t="s">
        <v>68</v>
      </c>
      <c r="G16" t="s">
        <v>87</v>
      </c>
      <c r="H16" s="1">
        <v>45492</v>
      </c>
      <c r="I16" t="s">
        <v>153</v>
      </c>
      <c r="J16" t="s">
        <v>160</v>
      </c>
      <c r="K16" s="2">
        <v>4200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100</v>
      </c>
      <c r="R16" s="2">
        <v>300</v>
      </c>
      <c r="S16" s="2">
        <v>3800</v>
      </c>
      <c r="T16" t="s">
        <v>163</v>
      </c>
    </row>
    <row r="17" spans="1:20" x14ac:dyDescent="0.25">
      <c r="A17">
        <v>88002045</v>
      </c>
      <c r="B17" t="s">
        <v>158</v>
      </c>
      <c r="C17" t="s">
        <v>76</v>
      </c>
      <c r="D17" t="s">
        <v>159</v>
      </c>
      <c r="E17" t="s">
        <v>58</v>
      </c>
      <c r="F17" t="s">
        <v>68</v>
      </c>
      <c r="G17" t="s">
        <v>87</v>
      </c>
      <c r="H17" s="1">
        <v>45492</v>
      </c>
      <c r="I17" t="s">
        <v>153</v>
      </c>
      <c r="J17" t="s">
        <v>160</v>
      </c>
      <c r="K17" s="2">
        <v>4200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100</v>
      </c>
      <c r="R17" s="2">
        <v>300</v>
      </c>
      <c r="S17" s="2">
        <v>3800</v>
      </c>
      <c r="T17" t="s">
        <v>164</v>
      </c>
    </row>
    <row r="18" spans="1:20" x14ac:dyDescent="0.25">
      <c r="A18">
        <v>88002046</v>
      </c>
      <c r="B18" t="s">
        <v>165</v>
      </c>
      <c r="C18" t="s">
        <v>76</v>
      </c>
      <c r="D18" t="s">
        <v>59</v>
      </c>
      <c r="E18" t="s">
        <v>58</v>
      </c>
      <c r="F18" t="s">
        <v>68</v>
      </c>
      <c r="G18" t="s">
        <v>67</v>
      </c>
      <c r="H18" s="1">
        <v>45398</v>
      </c>
      <c r="I18" t="s">
        <v>153</v>
      </c>
      <c r="J18" t="s">
        <v>166</v>
      </c>
      <c r="K18" s="2">
        <v>24000</v>
      </c>
      <c r="L18" s="2">
        <v>24000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t="s">
        <v>167</v>
      </c>
    </row>
    <row r="19" spans="1:20" x14ac:dyDescent="0.25">
      <c r="A19">
        <v>88002046</v>
      </c>
      <c r="B19" t="s">
        <v>165</v>
      </c>
      <c r="C19" t="s">
        <v>76</v>
      </c>
      <c r="D19" t="s">
        <v>59</v>
      </c>
      <c r="E19" t="s">
        <v>58</v>
      </c>
      <c r="F19" t="s">
        <v>68</v>
      </c>
      <c r="G19" t="s">
        <v>67</v>
      </c>
      <c r="H19" s="1">
        <v>45398</v>
      </c>
      <c r="I19" t="s">
        <v>153</v>
      </c>
      <c r="J19" t="s">
        <v>166</v>
      </c>
      <c r="K19" s="2">
        <v>24000</v>
      </c>
      <c r="L19" s="2">
        <v>24000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t="s">
        <v>168</v>
      </c>
    </row>
    <row r="20" spans="1:20" x14ac:dyDescent="0.25">
      <c r="A20">
        <v>88002046</v>
      </c>
      <c r="B20" t="s">
        <v>165</v>
      </c>
      <c r="C20" t="s">
        <v>76</v>
      </c>
      <c r="D20" t="s">
        <v>59</v>
      </c>
      <c r="E20" t="s">
        <v>58</v>
      </c>
      <c r="F20" t="s">
        <v>68</v>
      </c>
      <c r="G20" t="s">
        <v>67</v>
      </c>
      <c r="H20" s="1">
        <v>45398</v>
      </c>
      <c r="I20" t="s">
        <v>153</v>
      </c>
      <c r="J20" t="s">
        <v>166</v>
      </c>
      <c r="K20" s="2">
        <v>24000</v>
      </c>
      <c r="L20" s="2">
        <v>24000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t="s">
        <v>169</v>
      </c>
    </row>
    <row r="21" spans="1:20" x14ac:dyDescent="0.25">
      <c r="A21">
        <v>88002050</v>
      </c>
      <c r="B21" t="s">
        <v>170</v>
      </c>
      <c r="C21" t="s">
        <v>76</v>
      </c>
      <c r="D21" t="s">
        <v>171</v>
      </c>
      <c r="E21" t="s">
        <v>58</v>
      </c>
      <c r="F21" t="s">
        <v>68</v>
      </c>
      <c r="G21" t="s">
        <v>172</v>
      </c>
      <c r="H21" s="1">
        <v>45468</v>
      </c>
      <c r="I21" t="s">
        <v>153</v>
      </c>
      <c r="J21" t="s">
        <v>173</v>
      </c>
      <c r="K21" s="2">
        <v>404500</v>
      </c>
      <c r="L21" s="2">
        <v>233500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171000</v>
      </c>
      <c r="T21" t="s">
        <v>174</v>
      </c>
    </row>
    <row r="22" spans="1:20" x14ac:dyDescent="0.25">
      <c r="A22">
        <v>88002050</v>
      </c>
      <c r="B22" t="s">
        <v>170</v>
      </c>
      <c r="C22" t="s">
        <v>76</v>
      </c>
      <c r="D22" t="s">
        <v>171</v>
      </c>
      <c r="E22" t="s">
        <v>58</v>
      </c>
      <c r="F22" t="s">
        <v>68</v>
      </c>
      <c r="G22" t="s">
        <v>172</v>
      </c>
      <c r="H22" s="1">
        <v>45468</v>
      </c>
      <c r="I22" t="s">
        <v>153</v>
      </c>
      <c r="J22" t="s">
        <v>173</v>
      </c>
      <c r="K22" s="2">
        <v>404500</v>
      </c>
      <c r="L22" s="2">
        <v>233500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171000</v>
      </c>
      <c r="T22" t="s">
        <v>175</v>
      </c>
    </row>
    <row r="23" spans="1:20" x14ac:dyDescent="0.25">
      <c r="A23">
        <v>88002050</v>
      </c>
      <c r="B23" t="s">
        <v>170</v>
      </c>
      <c r="C23" t="s">
        <v>76</v>
      </c>
      <c r="D23" t="s">
        <v>171</v>
      </c>
      <c r="E23" t="s">
        <v>58</v>
      </c>
      <c r="F23" t="s">
        <v>68</v>
      </c>
      <c r="G23" t="s">
        <v>172</v>
      </c>
      <c r="H23" s="1">
        <v>45468</v>
      </c>
      <c r="I23" t="s">
        <v>153</v>
      </c>
      <c r="J23" t="s">
        <v>173</v>
      </c>
      <c r="K23" s="2">
        <v>404500</v>
      </c>
      <c r="L23" s="2">
        <v>233500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171000</v>
      </c>
      <c r="T23" t="s">
        <v>176</v>
      </c>
    </row>
    <row r="24" spans="1:20" x14ac:dyDescent="0.25">
      <c r="A24">
        <v>88002050</v>
      </c>
      <c r="B24" t="s">
        <v>170</v>
      </c>
      <c r="C24" t="s">
        <v>76</v>
      </c>
      <c r="D24" t="s">
        <v>171</v>
      </c>
      <c r="E24" t="s">
        <v>58</v>
      </c>
      <c r="F24" t="s">
        <v>68</v>
      </c>
      <c r="G24" t="s">
        <v>172</v>
      </c>
      <c r="H24" s="1">
        <v>45468</v>
      </c>
      <c r="I24" t="s">
        <v>153</v>
      </c>
      <c r="J24" t="s">
        <v>173</v>
      </c>
      <c r="K24" s="2">
        <v>404500</v>
      </c>
      <c r="L24" s="2">
        <v>233500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171000</v>
      </c>
      <c r="T24" t="s">
        <v>177</v>
      </c>
    </row>
    <row r="25" spans="1:20" x14ac:dyDescent="0.25">
      <c r="A25">
        <v>88002051</v>
      </c>
      <c r="B25" t="s">
        <v>178</v>
      </c>
      <c r="C25" t="s">
        <v>76</v>
      </c>
      <c r="D25" t="s">
        <v>171</v>
      </c>
      <c r="E25" t="s">
        <v>58</v>
      </c>
      <c r="F25" t="s">
        <v>68</v>
      </c>
      <c r="G25" t="s">
        <v>172</v>
      </c>
      <c r="H25" s="1">
        <v>45502</v>
      </c>
      <c r="I25" t="s">
        <v>153</v>
      </c>
      <c r="J25" t="s">
        <v>179</v>
      </c>
      <c r="K25" s="2">
        <v>328000</v>
      </c>
      <c r="L25" s="2">
        <v>160000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168000</v>
      </c>
      <c r="T25" t="s">
        <v>180</v>
      </c>
    </row>
    <row r="26" spans="1:20" x14ac:dyDescent="0.25">
      <c r="A26">
        <v>88002051</v>
      </c>
      <c r="B26" t="s">
        <v>178</v>
      </c>
      <c r="C26" t="s">
        <v>76</v>
      </c>
      <c r="D26" t="s">
        <v>171</v>
      </c>
      <c r="E26" t="s">
        <v>58</v>
      </c>
      <c r="F26" t="s">
        <v>68</v>
      </c>
      <c r="G26" t="s">
        <v>172</v>
      </c>
      <c r="H26" s="1">
        <v>45502</v>
      </c>
      <c r="I26" t="s">
        <v>153</v>
      </c>
      <c r="J26" t="s">
        <v>179</v>
      </c>
      <c r="K26" s="2">
        <v>328000</v>
      </c>
      <c r="L26" s="2">
        <v>160000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168000</v>
      </c>
      <c r="T26" t="s">
        <v>181</v>
      </c>
    </row>
    <row r="27" spans="1:20" x14ac:dyDescent="0.25">
      <c r="A27">
        <v>88002051</v>
      </c>
      <c r="B27" t="s">
        <v>178</v>
      </c>
      <c r="C27" t="s">
        <v>76</v>
      </c>
      <c r="D27" t="s">
        <v>171</v>
      </c>
      <c r="E27" t="s">
        <v>58</v>
      </c>
      <c r="F27" t="s">
        <v>68</v>
      </c>
      <c r="G27" t="s">
        <v>172</v>
      </c>
      <c r="H27" s="1">
        <v>45502</v>
      </c>
      <c r="I27" t="s">
        <v>153</v>
      </c>
      <c r="J27" t="s">
        <v>179</v>
      </c>
      <c r="K27" s="2">
        <v>328000</v>
      </c>
      <c r="L27" s="2">
        <v>160000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168000</v>
      </c>
      <c r="T27" t="s">
        <v>177</v>
      </c>
    </row>
    <row r="28" spans="1:20" x14ac:dyDescent="0.25">
      <c r="A28">
        <v>88002053</v>
      </c>
      <c r="B28" t="s">
        <v>182</v>
      </c>
      <c r="C28" t="s">
        <v>64</v>
      </c>
      <c r="D28" t="s">
        <v>183</v>
      </c>
      <c r="E28" t="s">
        <v>136</v>
      </c>
      <c r="F28" t="s">
        <v>102</v>
      </c>
      <c r="G28" t="s">
        <v>137</v>
      </c>
      <c r="H28" s="1">
        <v>45471</v>
      </c>
      <c r="I28" t="s">
        <v>63</v>
      </c>
      <c r="J28" t="s">
        <v>184</v>
      </c>
      <c r="K28" s="2">
        <v>268074</v>
      </c>
      <c r="L28" s="2">
        <v>48323</v>
      </c>
      <c r="M28" s="2">
        <v>1678</v>
      </c>
      <c r="N28" s="2">
        <v>0</v>
      </c>
      <c r="O28" s="2">
        <v>1253</v>
      </c>
      <c r="P28" s="2">
        <v>2427</v>
      </c>
      <c r="Q28" s="2">
        <v>3242</v>
      </c>
      <c r="R28" s="2">
        <v>3558</v>
      </c>
      <c r="S28" s="2">
        <v>207593</v>
      </c>
      <c r="T28" t="s">
        <v>185</v>
      </c>
    </row>
    <row r="29" spans="1:20" x14ac:dyDescent="0.25">
      <c r="A29">
        <v>88002055</v>
      </c>
      <c r="B29" t="s">
        <v>186</v>
      </c>
      <c r="C29" t="s">
        <v>76</v>
      </c>
      <c r="D29" t="s">
        <v>70</v>
      </c>
      <c r="E29" t="s">
        <v>58</v>
      </c>
      <c r="F29" t="s">
        <v>68</v>
      </c>
      <c r="G29" t="s">
        <v>67</v>
      </c>
      <c r="H29" s="1">
        <v>45509</v>
      </c>
      <c r="I29" t="s">
        <v>63</v>
      </c>
      <c r="J29" t="s">
        <v>187</v>
      </c>
      <c r="K29" s="2">
        <v>69000</v>
      </c>
      <c r="L29" s="2">
        <v>69000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t="s">
        <v>188</v>
      </c>
    </row>
    <row r="30" spans="1:20" x14ac:dyDescent="0.25">
      <c r="A30">
        <v>88002055</v>
      </c>
      <c r="B30" t="s">
        <v>186</v>
      </c>
      <c r="C30" t="s">
        <v>76</v>
      </c>
      <c r="D30" t="s">
        <v>70</v>
      </c>
      <c r="E30" t="s">
        <v>58</v>
      </c>
      <c r="F30" t="s">
        <v>68</v>
      </c>
      <c r="G30" t="s">
        <v>67</v>
      </c>
      <c r="H30" s="1">
        <v>45509</v>
      </c>
      <c r="I30" t="s">
        <v>63</v>
      </c>
      <c r="J30" t="s">
        <v>187</v>
      </c>
      <c r="K30" s="2">
        <v>69000</v>
      </c>
      <c r="L30" s="2">
        <v>69000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t="s">
        <v>189</v>
      </c>
    </row>
    <row r="31" spans="1:20" x14ac:dyDescent="0.25">
      <c r="A31">
        <v>88002058</v>
      </c>
      <c r="B31" t="s">
        <v>190</v>
      </c>
      <c r="C31" t="s">
        <v>64</v>
      </c>
      <c r="D31" t="s">
        <v>89</v>
      </c>
      <c r="E31" t="s">
        <v>88</v>
      </c>
      <c r="F31" t="s">
        <v>68</v>
      </c>
      <c r="G31" t="s">
        <v>91</v>
      </c>
      <c r="H31" s="1">
        <v>45517</v>
      </c>
      <c r="I31" t="s">
        <v>63</v>
      </c>
      <c r="J31" t="s">
        <v>191</v>
      </c>
      <c r="K31" s="2">
        <v>506537</v>
      </c>
      <c r="L31" s="2">
        <v>289919</v>
      </c>
      <c r="M31" s="2">
        <v>4830</v>
      </c>
      <c r="N31" s="2">
        <v>1621</v>
      </c>
      <c r="O31" s="2">
        <v>9208</v>
      </c>
      <c r="P31" s="2">
        <v>22316</v>
      </c>
      <c r="Q31" s="2">
        <v>26872</v>
      </c>
      <c r="R31" s="2">
        <v>19632</v>
      </c>
      <c r="S31" s="2">
        <v>132139</v>
      </c>
      <c r="T31" t="s">
        <v>192</v>
      </c>
    </row>
    <row r="32" spans="1:20" x14ac:dyDescent="0.25">
      <c r="A32">
        <v>88002058</v>
      </c>
      <c r="B32" t="s">
        <v>190</v>
      </c>
      <c r="C32" t="s">
        <v>64</v>
      </c>
      <c r="D32" t="s">
        <v>89</v>
      </c>
      <c r="E32" t="s">
        <v>88</v>
      </c>
      <c r="F32" t="s">
        <v>68</v>
      </c>
      <c r="G32" t="s">
        <v>91</v>
      </c>
      <c r="H32" s="1">
        <v>45517</v>
      </c>
      <c r="I32" t="s">
        <v>63</v>
      </c>
      <c r="J32" t="s">
        <v>191</v>
      </c>
      <c r="K32" s="2">
        <v>506537</v>
      </c>
      <c r="L32" s="2">
        <v>289919</v>
      </c>
      <c r="M32" s="2">
        <v>4830</v>
      </c>
      <c r="N32" s="2">
        <v>1621</v>
      </c>
      <c r="O32" s="2">
        <v>9208</v>
      </c>
      <c r="P32" s="2">
        <v>22316</v>
      </c>
      <c r="Q32" s="2">
        <v>26872</v>
      </c>
      <c r="R32" s="2">
        <v>19632</v>
      </c>
      <c r="S32" s="2">
        <v>132139</v>
      </c>
      <c r="T32" t="s">
        <v>193</v>
      </c>
    </row>
    <row r="33" spans="1:20" x14ac:dyDescent="0.25">
      <c r="A33">
        <v>88002059</v>
      </c>
      <c r="B33" t="s">
        <v>194</v>
      </c>
      <c r="C33" t="s">
        <v>76</v>
      </c>
      <c r="D33" t="s">
        <v>195</v>
      </c>
      <c r="E33" t="s">
        <v>136</v>
      </c>
      <c r="F33" t="s">
        <v>68</v>
      </c>
      <c r="G33" t="s">
        <v>196</v>
      </c>
      <c r="H33" s="1">
        <v>45504</v>
      </c>
      <c r="I33" t="s">
        <v>63</v>
      </c>
      <c r="J33" t="s">
        <v>197</v>
      </c>
      <c r="K33" s="2">
        <v>216704</v>
      </c>
      <c r="L33" s="2">
        <v>127827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88877</v>
      </c>
      <c r="T33" t="s">
        <v>198</v>
      </c>
    </row>
    <row r="34" spans="1:20" x14ac:dyDescent="0.25">
      <c r="A34">
        <v>88002059</v>
      </c>
      <c r="B34" t="s">
        <v>194</v>
      </c>
      <c r="C34" t="s">
        <v>76</v>
      </c>
      <c r="D34" t="s">
        <v>195</v>
      </c>
      <c r="E34" t="s">
        <v>136</v>
      </c>
      <c r="F34" t="s">
        <v>68</v>
      </c>
      <c r="G34" t="s">
        <v>196</v>
      </c>
      <c r="H34" s="1">
        <v>45504</v>
      </c>
      <c r="I34" t="s">
        <v>63</v>
      </c>
      <c r="J34" t="s">
        <v>197</v>
      </c>
      <c r="K34" s="2">
        <v>216704</v>
      </c>
      <c r="L34" s="2">
        <v>127827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88877</v>
      </c>
      <c r="T34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010C-B80D-4085-AC88-03A9A89136AF}">
  <sheetPr>
    <tabColor rgb="FF92D050"/>
  </sheetPr>
  <dimension ref="A1:AB29"/>
  <sheetViews>
    <sheetView tabSelected="1" topLeftCell="N1" workbookViewId="0">
      <selection activeCell="V13" sqref="V13"/>
    </sheetView>
  </sheetViews>
  <sheetFormatPr defaultRowHeight="15" x14ac:dyDescent="0.25"/>
  <cols>
    <col min="1" max="1" width="12.5703125" customWidth="1"/>
    <col min="2" max="2" width="15.7109375" customWidth="1"/>
    <col min="3" max="3" width="14.85546875" customWidth="1"/>
    <col min="4" max="4" width="18.28515625" customWidth="1"/>
    <col min="5" max="5" width="18.85546875" customWidth="1"/>
    <col min="6" max="6" width="17.28515625" customWidth="1"/>
    <col min="7" max="7" width="15.140625" customWidth="1"/>
    <col min="8" max="8" width="20.140625" customWidth="1"/>
    <col min="9" max="9" width="22.28515625" customWidth="1"/>
    <col min="10" max="10" width="16.28515625" customWidth="1"/>
    <col min="11" max="11" width="16.42578125" style="18" customWidth="1"/>
    <col min="12" max="12" width="16.28515625" style="18" bestFit="1" customWidth="1"/>
    <col min="13" max="13" width="15.140625" style="18" customWidth="1"/>
    <col min="14" max="14" width="15.7109375" style="18" customWidth="1"/>
    <col min="15" max="15" width="15" style="18" customWidth="1"/>
    <col min="16" max="16" width="14.5703125" style="18" customWidth="1"/>
    <col min="17" max="17" width="15.42578125" style="18" customWidth="1"/>
    <col min="18" max="18" width="14.140625" style="18" customWidth="1"/>
    <col min="19" max="19" width="13.7109375" style="18" customWidth="1"/>
    <col min="20" max="20" width="19.85546875" style="18" hidden="1" customWidth="1"/>
    <col min="21" max="21" width="73" hidden="1" customWidth="1"/>
    <col min="22" max="22" width="73" bestFit="1" customWidth="1"/>
    <col min="23" max="23" width="71.85546875" hidden="1" customWidth="1"/>
    <col min="24" max="24" width="71.85546875" bestFit="1" customWidth="1"/>
    <col min="25" max="25" width="58.42578125" hidden="1" customWidth="1"/>
    <col min="26" max="26" width="58.42578125" bestFit="1" customWidth="1"/>
    <col min="27" max="27" width="51.5703125" hidden="1" customWidth="1"/>
    <col min="28" max="28" width="51.5703125" bestFit="1" customWidth="1"/>
    <col min="30" max="30" width="14.28515625" customWidth="1"/>
    <col min="32" max="32" width="14.28515625" customWidth="1"/>
    <col min="34" max="36" width="13.85546875" customWidth="1"/>
  </cols>
  <sheetData>
    <row r="1" spans="1:28" x14ac:dyDescent="0.25">
      <c r="A1" s="28" t="s">
        <v>0</v>
      </c>
      <c r="B1" s="28" t="s">
        <v>115</v>
      </c>
      <c r="C1" s="28" t="s">
        <v>116</v>
      </c>
      <c r="D1" s="28" t="s">
        <v>117</v>
      </c>
      <c r="E1" s="28" t="s">
        <v>118</v>
      </c>
      <c r="F1" s="28" t="s">
        <v>119</v>
      </c>
      <c r="G1" s="28" t="s">
        <v>120</v>
      </c>
      <c r="H1" s="28" t="s">
        <v>121</v>
      </c>
      <c r="I1" s="28" t="s">
        <v>122</v>
      </c>
      <c r="J1" s="28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8" t="s">
        <v>336</v>
      </c>
      <c r="U1" s="28" t="s">
        <v>201</v>
      </c>
      <c r="V1" s="28" t="s">
        <v>204</v>
      </c>
      <c r="W1" s="28" t="s">
        <v>202</v>
      </c>
      <c r="X1" s="28" t="s">
        <v>205</v>
      </c>
      <c r="Y1" s="28" t="s">
        <v>203</v>
      </c>
      <c r="Z1" s="28" t="s">
        <v>206</v>
      </c>
      <c r="AA1" s="28" t="s">
        <v>374</v>
      </c>
      <c r="AB1" s="28" t="s">
        <v>373</v>
      </c>
    </row>
    <row r="2" spans="1:28" x14ac:dyDescent="0.25">
      <c r="A2" s="28">
        <v>88002348</v>
      </c>
      <c r="B2" s="28" t="s">
        <v>1141</v>
      </c>
      <c r="C2" s="28" t="s">
        <v>64</v>
      </c>
      <c r="D2" s="28" t="s">
        <v>1058</v>
      </c>
      <c r="E2" s="28" t="s">
        <v>136</v>
      </c>
      <c r="F2" s="28" t="s">
        <v>68</v>
      </c>
      <c r="G2" s="28" t="s">
        <v>1058</v>
      </c>
      <c r="H2" s="28" t="s">
        <v>1142</v>
      </c>
      <c r="I2" s="28" t="s">
        <v>218</v>
      </c>
      <c r="J2" s="28" t="s">
        <v>1143</v>
      </c>
      <c r="K2" s="29">
        <v>14002</v>
      </c>
      <c r="L2" s="26">
        <v>14002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t="s">
        <v>211</v>
      </c>
      <c r="U2" s="28" t="s">
        <v>1144</v>
      </c>
      <c r="V2" s="9" t="str">
        <f>HYPERLINK(_xlfn.CONCAT(Table13[[#This Row],[ParentFolder]],"\",Table13[[#This Row],[FILE_NAME_1]]),Table13[[#This Row],[FILE_NAME_1]])</f>
        <v>ThirdWave - 12.2025 Remittance .xlsx</v>
      </c>
      <c r="W2" s="28"/>
      <c r="X2" s="9"/>
      <c r="Y2" s="28"/>
      <c r="Z2" s="9"/>
      <c r="AA2" s="28"/>
      <c r="AB2" s="9"/>
    </row>
    <row r="3" spans="1:28" x14ac:dyDescent="0.25">
      <c r="A3" s="28">
        <v>88002354</v>
      </c>
      <c r="B3" s="28" t="s">
        <v>1145</v>
      </c>
      <c r="C3" s="28" t="s">
        <v>76</v>
      </c>
      <c r="D3" s="28" t="s">
        <v>95</v>
      </c>
      <c r="E3" s="28" t="s">
        <v>58</v>
      </c>
      <c r="F3" s="28" t="s">
        <v>68</v>
      </c>
      <c r="G3" s="28" t="s">
        <v>97</v>
      </c>
      <c r="H3" s="28" t="s">
        <v>1146</v>
      </c>
      <c r="I3" s="28" t="s">
        <v>266</v>
      </c>
      <c r="J3" s="28" t="s">
        <v>1147</v>
      </c>
      <c r="K3" s="29">
        <v>94500</v>
      </c>
      <c r="L3" s="26">
        <v>73500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21000</v>
      </c>
      <c r="T3" t="s">
        <v>211</v>
      </c>
      <c r="U3" s="28" t="s">
        <v>1148</v>
      </c>
      <c r="V3" s="9" t="str">
        <f>HYPERLINK(_xlfn.CONCAT(Table13[[#This Row],[ParentFolder]],"\",Table13[[#This Row],[FILE_NAME_1]]),Table13[[#This Row],[FILE_NAME_1]])</f>
        <v>Medtronic Structural Heart MMC Credit Memo 2025Q3 1.20.26.pdf</v>
      </c>
      <c r="W3" s="28" t="s">
        <v>1149</v>
      </c>
      <c r="X3" s="9" t="str">
        <f>HYPERLINK(_xlfn.CONCAT(Table13[[#This Row],[ParentFolder]],"\",Table13[[#This Row],[FILE_NAME_2]]),Table13[[#This Row],[FILE_NAME_2]])</f>
        <v>Medtronic Structural Heart Rebate 2025Q3 Analysis and Breakdown 1.20.26.xlsx</v>
      </c>
      <c r="Y3" s="28" t="s">
        <v>1150</v>
      </c>
      <c r="Z3" s="9" t="str">
        <f>HYPERLINK(_xlfn.CONCAT(Table13[[#This Row],[ParentFolder]],"\",Table13[[#This Row],[FILE_NAME_3]]),Table13[[#This Row],[FILE_NAME_3]])</f>
        <v>Medtronic Structural Heart WPH Credit Memo 2025Q3 1.20.26.pdf</v>
      </c>
      <c r="AA3" s="28" t="s">
        <v>1027</v>
      </c>
      <c r="AB3" s="9" t="str">
        <f>HYPERLINK(_xlfn.CONCAT(Table13[[#This Row],[ParentFolder]],"\",Table13[[#This Row],[FILE_NAME_4]]),Table13[[#This Row],[FILE_NAME_4]])</f>
        <v>Medtronic TAVR Rebate Terms.pdf</v>
      </c>
    </row>
    <row r="4" spans="1:28" x14ac:dyDescent="0.25">
      <c r="A4" s="28">
        <v>88002355</v>
      </c>
      <c r="B4" s="28" t="s">
        <v>1151</v>
      </c>
      <c r="C4" s="28" t="s">
        <v>76</v>
      </c>
      <c r="D4" s="28" t="s">
        <v>1152</v>
      </c>
      <c r="E4" s="28" t="s">
        <v>58</v>
      </c>
      <c r="F4" s="28" t="s">
        <v>68</v>
      </c>
      <c r="G4" s="28" t="s">
        <v>108</v>
      </c>
      <c r="H4" s="28" t="s">
        <v>1153</v>
      </c>
      <c r="I4" s="28" t="s">
        <v>266</v>
      </c>
      <c r="J4" s="28" t="s">
        <v>1154</v>
      </c>
      <c r="K4" s="29">
        <v>66440</v>
      </c>
      <c r="L4" s="26">
        <v>66440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t="s">
        <v>211</v>
      </c>
      <c r="U4" s="28" t="s">
        <v>1155</v>
      </c>
      <c r="V4" s="9" t="str">
        <f>HYPERLINK(_xlfn.CONCAT(Table13[[#This Row],[ParentFolder]],"\",Table13[[#This Row],[FILE_NAME_1]]),Table13[[#This Row],[FILE_NAME_1]])</f>
        <v>5500271002.pdf</v>
      </c>
      <c r="W4" s="28" t="s">
        <v>1156</v>
      </c>
      <c r="X4" s="9" t="str">
        <f>HYPERLINK(_xlfn.CONCAT(Table13[[#This Row],[ParentFolder]],"\",Table13[[#This Row],[FILE_NAME_2]]),Table13[[#This Row],[FILE_NAME_2]])</f>
        <v>5500271003.pdf</v>
      </c>
      <c r="Y4" s="28" t="s">
        <v>1157</v>
      </c>
      <c r="Z4" s="9" t="str">
        <f>HYPERLINK(_xlfn.CONCAT(Table13[[#This Row],[ParentFolder]],"\",Table13[[#This Row],[FILE_NAME_3]]),Table13[[#This Row],[FILE_NAME_3]])</f>
        <v>5500271004.pdf</v>
      </c>
      <c r="AA4" s="28" t="s">
        <v>1158</v>
      </c>
      <c r="AB4" s="9" t="str">
        <f>HYPERLINK(_xlfn.CONCAT(Table13[[#This Row],[ParentFolder]],"\",Table13[[#This Row],[FILE_NAME_4]]),Table13[[#This Row],[FILE_NAME_4]])</f>
        <v>Biotronik CRM Rebate Info 1.20.26.png</v>
      </c>
    </row>
    <row r="5" spans="1:28" x14ac:dyDescent="0.25">
      <c r="A5" s="28">
        <v>88002357</v>
      </c>
      <c r="B5" s="28" t="s">
        <v>1159</v>
      </c>
      <c r="C5" s="28" t="s">
        <v>64</v>
      </c>
      <c r="D5" s="28" t="s">
        <v>89</v>
      </c>
      <c r="E5" s="28" t="s">
        <v>88</v>
      </c>
      <c r="F5" s="28" t="s">
        <v>68</v>
      </c>
      <c r="G5" s="28" t="s">
        <v>91</v>
      </c>
      <c r="H5" s="28" t="s">
        <v>1160</v>
      </c>
      <c r="I5" s="28" t="s">
        <v>184</v>
      </c>
      <c r="J5" s="28" t="s">
        <v>1161</v>
      </c>
      <c r="K5" s="29">
        <v>2118863</v>
      </c>
      <c r="L5" s="26">
        <v>1294605</v>
      </c>
      <c r="M5" s="26">
        <v>16271</v>
      </c>
      <c r="N5" s="26">
        <v>2417</v>
      </c>
      <c r="O5" s="26">
        <v>0</v>
      </c>
      <c r="P5" s="26">
        <v>0</v>
      </c>
      <c r="Q5" s="26">
        <v>134992</v>
      </c>
      <c r="R5" s="26">
        <v>113258</v>
      </c>
      <c r="S5" s="26">
        <v>557320</v>
      </c>
      <c r="T5" t="s">
        <v>211</v>
      </c>
      <c r="U5" s="28" t="s">
        <v>1162</v>
      </c>
      <c r="V5" s="9" t="str">
        <f>HYPERLINK(_xlfn.CONCAT(Table13[[#This Row],[ParentFolder]],"\",Table13[[#This Row],[FILE_NAME_1]]),Table13[[#This Row],[FILE_NAME_1]])</f>
        <v>Copy of Montefiore Apr-Oct25.xlsx</v>
      </c>
      <c r="W5" s="28" t="s">
        <v>1163</v>
      </c>
      <c r="X5" s="9" t="str">
        <f>HYPERLINK(_xlfn.CONCAT(Table13[[#This Row],[ParentFolder]],"\",Table13[[#This Row],[FILE_NAME_2]]),Table13[[#This Row],[FILE_NAME_2]])</f>
        <v>Medline Payment Advice 01_21_2026 - Acc 2069398.PDF</v>
      </c>
      <c r="Y5" s="28"/>
      <c r="Z5" s="9"/>
      <c r="AA5" s="28"/>
      <c r="AB5" s="9"/>
    </row>
    <row r="6" spans="1:28" x14ac:dyDescent="0.25">
      <c r="A6" s="28">
        <v>88002359</v>
      </c>
      <c r="B6" s="28" t="s">
        <v>1164</v>
      </c>
      <c r="C6" s="28" t="s">
        <v>352</v>
      </c>
      <c r="D6" s="28" t="s">
        <v>1165</v>
      </c>
      <c r="E6" s="28" t="s">
        <v>136</v>
      </c>
      <c r="F6" s="28" t="s">
        <v>68</v>
      </c>
      <c r="G6" s="28" t="s">
        <v>354</v>
      </c>
      <c r="H6" s="28" t="s">
        <v>1166</v>
      </c>
      <c r="I6" s="28" t="s">
        <v>218</v>
      </c>
      <c r="J6" s="28" t="s">
        <v>1167</v>
      </c>
      <c r="K6" s="29">
        <v>60938</v>
      </c>
      <c r="L6" s="26">
        <v>44913</v>
      </c>
      <c r="M6" s="26">
        <v>1870</v>
      </c>
      <c r="N6" s="26">
        <v>85</v>
      </c>
      <c r="O6" s="26">
        <v>889</v>
      </c>
      <c r="P6" s="26">
        <v>1205</v>
      </c>
      <c r="Q6" s="26">
        <v>2623</v>
      </c>
      <c r="R6" s="26">
        <v>3084</v>
      </c>
      <c r="S6" s="26">
        <v>6269</v>
      </c>
      <c r="T6" t="s">
        <v>211</v>
      </c>
      <c r="U6" s="28" t="s">
        <v>1168</v>
      </c>
      <c r="V6" s="9" t="str">
        <f>HYPERLINK(_xlfn.CONCAT(Table13[[#This Row],[ParentFolder]],"\",Table13[[#This Row],[FILE_NAME_1]]),Table13[[#This Row],[FILE_NAME_1]])</f>
        <v>Source  Q4 2025 ACH  and facility breakdown.xlsx</v>
      </c>
      <c r="W6" s="28"/>
      <c r="X6" s="9"/>
      <c r="Y6" s="28"/>
      <c r="Z6" s="9"/>
      <c r="AA6" s="28"/>
      <c r="AB6" s="9"/>
    </row>
    <row r="7" spans="1:28" x14ac:dyDescent="0.25">
      <c r="A7" s="28">
        <v>88002360</v>
      </c>
      <c r="B7" s="28" t="s">
        <v>1169</v>
      </c>
      <c r="C7" s="28" t="s">
        <v>387</v>
      </c>
      <c r="D7" s="28" t="s">
        <v>1165</v>
      </c>
      <c r="E7" s="28" t="s">
        <v>136</v>
      </c>
      <c r="F7" s="28" t="s">
        <v>68</v>
      </c>
      <c r="G7" s="28" t="s">
        <v>354</v>
      </c>
      <c r="H7" s="28" t="s">
        <v>1170</v>
      </c>
      <c r="I7" s="28" t="s">
        <v>266</v>
      </c>
      <c r="J7" s="28" t="s">
        <v>888</v>
      </c>
      <c r="K7" s="29">
        <v>284936</v>
      </c>
      <c r="L7" s="26">
        <v>190495</v>
      </c>
      <c r="M7" s="26">
        <v>72</v>
      </c>
      <c r="N7" s="26">
        <v>55</v>
      </c>
      <c r="O7" s="26">
        <v>175</v>
      </c>
      <c r="P7" s="26">
        <v>263</v>
      </c>
      <c r="Q7" s="26">
        <v>24098</v>
      </c>
      <c r="R7" s="26">
        <v>7215</v>
      </c>
      <c r="S7" s="26">
        <v>62563</v>
      </c>
      <c r="T7" t="s">
        <v>211</v>
      </c>
      <c r="U7" s="28" t="s">
        <v>1171</v>
      </c>
      <c r="V7" s="9" t="str">
        <f>HYPERLINK(_xlfn.CONCAT(Table13[[#This Row],[ParentFolder]],"\",Table13[[#This Row],[FILE_NAME_1]]),Table13[[#This Row],[FILE_NAME_1]])</f>
        <v>SPD Q4 2025 credit memo and by facility.xlsx</v>
      </c>
      <c r="W7" s="28"/>
      <c r="X7" s="9"/>
      <c r="Y7" s="28"/>
      <c r="Z7" s="9"/>
      <c r="AA7" s="28"/>
      <c r="AB7" s="9"/>
    </row>
    <row r="8" spans="1:28" x14ac:dyDescent="0.25">
      <c r="A8" s="28">
        <v>88002361</v>
      </c>
      <c r="B8" s="28" t="s">
        <v>1172</v>
      </c>
      <c r="C8" s="28" t="s">
        <v>76</v>
      </c>
      <c r="D8" s="28" t="s">
        <v>1165</v>
      </c>
      <c r="E8" s="28" t="s">
        <v>136</v>
      </c>
      <c r="F8" s="28" t="s">
        <v>68</v>
      </c>
      <c r="G8" s="28" t="s">
        <v>354</v>
      </c>
      <c r="H8" s="28" t="s">
        <v>1166</v>
      </c>
      <c r="I8" s="28" t="s">
        <v>184</v>
      </c>
      <c r="J8" s="28" t="s">
        <v>876</v>
      </c>
      <c r="K8" s="29">
        <v>3000000</v>
      </c>
      <c r="L8" s="26">
        <v>2224517</v>
      </c>
      <c r="M8" s="26">
        <v>11069</v>
      </c>
      <c r="N8" s="26">
        <v>0</v>
      </c>
      <c r="O8" s="26">
        <v>7844</v>
      </c>
      <c r="P8" s="26">
        <v>13644</v>
      </c>
      <c r="Q8" s="26">
        <v>176547</v>
      </c>
      <c r="R8" s="26">
        <v>75189</v>
      </c>
      <c r="S8" s="26">
        <v>491190</v>
      </c>
      <c r="T8" t="s">
        <v>211</v>
      </c>
      <c r="U8" s="28" t="s">
        <v>1173</v>
      </c>
      <c r="V8" s="9" t="str">
        <f>HYPERLINK(_xlfn.CONCAT(Table13[[#This Row],[ParentFolder]],"\",Table13[[#This Row],[FILE_NAME_1]]),Table13[[#This Row],[FILE_NAME_1]])</f>
        <v>Volume 2025 Annual EFT and facility breakdown  Detail.XLSX</v>
      </c>
      <c r="W8" s="28"/>
      <c r="X8" s="9"/>
      <c r="Y8" s="28"/>
      <c r="Z8" s="9"/>
      <c r="AA8" s="28"/>
      <c r="AB8" s="9"/>
    </row>
    <row r="9" spans="1:28" x14ac:dyDescent="0.25">
      <c r="A9" s="28">
        <v>88002362</v>
      </c>
      <c r="B9" s="28" t="s">
        <v>1174</v>
      </c>
      <c r="C9" s="28" t="s">
        <v>76</v>
      </c>
      <c r="D9" s="28" t="s">
        <v>880</v>
      </c>
      <c r="E9" s="28" t="s">
        <v>1053</v>
      </c>
      <c r="F9" s="28" t="s">
        <v>68</v>
      </c>
      <c r="G9" s="28" t="s">
        <v>764</v>
      </c>
      <c r="H9" s="28" t="s">
        <v>1175</v>
      </c>
      <c r="I9" s="28" t="s">
        <v>218</v>
      </c>
      <c r="J9" s="28" t="s">
        <v>1176</v>
      </c>
      <c r="K9" s="29">
        <v>420146</v>
      </c>
      <c r="L9" s="26">
        <v>203707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33102</v>
      </c>
      <c r="S9" s="26">
        <v>183337</v>
      </c>
      <c r="T9" t="s">
        <v>211</v>
      </c>
      <c r="U9" s="28" t="s">
        <v>1177</v>
      </c>
      <c r="V9" s="9" t="str">
        <f>HYPERLINK(_xlfn.CONCAT(Table13[[#This Row],[ParentFolder]],"\",Table13[[#This Row],[FILE_NAME_1]]),Table13[[#This Row],[FILE_NAME_1]])</f>
        <v>lantheus -Montefiore Rebate Summary 1-22.25.xlsx</v>
      </c>
      <c r="W9" s="28"/>
      <c r="X9" s="9"/>
      <c r="Y9" s="28"/>
      <c r="Z9" s="9"/>
      <c r="AA9" s="28"/>
      <c r="AB9" s="9"/>
    </row>
    <row r="10" spans="1:28" x14ac:dyDescent="0.25">
      <c r="A10" s="28">
        <v>88002363</v>
      </c>
      <c r="B10" s="28" t="s">
        <v>1178</v>
      </c>
      <c r="C10" s="28" t="s">
        <v>64</v>
      </c>
      <c r="D10" s="28" t="s">
        <v>1058</v>
      </c>
      <c r="E10" s="28" t="s">
        <v>136</v>
      </c>
      <c r="F10" s="28" t="s">
        <v>68</v>
      </c>
      <c r="G10" s="28" t="s">
        <v>1058</v>
      </c>
      <c r="H10" s="28" t="s">
        <v>1179</v>
      </c>
      <c r="I10" s="28" t="s">
        <v>218</v>
      </c>
      <c r="J10" s="28" t="s">
        <v>1180</v>
      </c>
      <c r="K10" s="29">
        <v>11438</v>
      </c>
      <c r="L10" s="26">
        <v>11438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t="s">
        <v>211</v>
      </c>
      <c r="U10" s="28" t="s">
        <v>1181</v>
      </c>
      <c r="V10" s="9" t="str">
        <f>HYPERLINK(_xlfn.CONCAT(Table13[[#This Row],[ParentFolder]],"\",Table13[[#This Row],[FILE_NAME_1]]),Table13[[#This Row],[FILE_NAME_1]])</f>
        <v>ThirdWave - 1.2026 Remittance .xlsx</v>
      </c>
      <c r="W10" s="28"/>
      <c r="X10" s="9"/>
      <c r="Y10" s="28"/>
      <c r="Z10" s="9"/>
      <c r="AA10" s="28"/>
      <c r="AB10" s="9"/>
    </row>
    <row r="11" spans="1:28" x14ac:dyDescent="0.25">
      <c r="A11" s="28">
        <v>88002364</v>
      </c>
      <c r="B11" s="28" t="s">
        <v>280</v>
      </c>
      <c r="C11" s="28" t="s">
        <v>76</v>
      </c>
      <c r="D11" s="28" t="s">
        <v>1121</v>
      </c>
      <c r="E11" s="28" t="s">
        <v>282</v>
      </c>
      <c r="F11" s="28" t="s">
        <v>68</v>
      </c>
      <c r="G11" s="28" t="s">
        <v>1122</v>
      </c>
      <c r="H11" s="28" t="s">
        <v>1123</v>
      </c>
      <c r="I11" s="28" t="s">
        <v>153</v>
      </c>
      <c r="J11" s="28" t="s">
        <v>1182</v>
      </c>
      <c r="K11" s="29">
        <v>6389</v>
      </c>
      <c r="L11" s="26">
        <v>6389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t="s">
        <v>211</v>
      </c>
      <c r="U11" s="28" t="s">
        <v>1183</v>
      </c>
      <c r="V11" s="9" t="str">
        <f>HYPERLINK(_xlfn.CONCAT(Table13[[#This Row],[ParentFolder]],"\",Table13[[#This Row],[FILE_NAME_1]]),Table13[[#This Row],[FILE_NAME_1]])</f>
        <v>2025 Q4 Montefiore Rebate Report.xlsx</v>
      </c>
      <c r="W11" s="28" t="s">
        <v>1184</v>
      </c>
      <c r="X11" s="9" t="str">
        <f>HYPERLINK(_xlfn.CONCAT(Table13[[#This Row],[ParentFolder]],"\",Table13[[#This Row],[FILE_NAME_2]]),Table13[[#This Row],[FILE_NAME_2]])</f>
        <v>7c6f5eae-e100-45bf-9c73-d62f2a665f57.png</v>
      </c>
      <c r="Y11" s="28" t="s">
        <v>1125</v>
      </c>
      <c r="Z11" s="9" t="str">
        <f>HYPERLINK(_xlfn.CONCAT(Table13[[#This Row],[ParentFolder]],"\",Table13[[#This Row],[FILE_NAME_3]]),Table13[[#This Row],[FILE_NAME_3]])</f>
        <v>Medical Solutions Fully Executed Contract 7.9.25.pdf</v>
      </c>
      <c r="AA11" s="28"/>
      <c r="AB11" s="9"/>
    </row>
    <row r="12" spans="1:28" x14ac:dyDescent="0.25">
      <c r="A12" s="28">
        <v>88002365</v>
      </c>
      <c r="B12" s="28" t="s">
        <v>280</v>
      </c>
      <c r="C12" s="28" t="s">
        <v>76</v>
      </c>
      <c r="D12" s="28" t="s">
        <v>298</v>
      </c>
      <c r="E12" s="28" t="s">
        <v>282</v>
      </c>
      <c r="F12" s="28" t="s">
        <v>68</v>
      </c>
      <c r="G12" s="28" t="s">
        <v>299</v>
      </c>
      <c r="H12" s="28" t="s">
        <v>1185</v>
      </c>
      <c r="I12" s="28" t="s">
        <v>153</v>
      </c>
      <c r="J12" s="28" t="s">
        <v>1186</v>
      </c>
      <c r="K12" s="29">
        <v>97631</v>
      </c>
      <c r="L12" s="26">
        <v>97631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t="s">
        <v>211</v>
      </c>
      <c r="U12" s="28" t="s">
        <v>954</v>
      </c>
      <c r="V12" s="9" t="str">
        <f>HYPERLINK(_xlfn.CONCAT(Table13[[#This Row],[ParentFolder]],"\",Table13[[#This Row],[FILE_NAME_1]]),Table13[[#This Row],[FILE_NAME_1]])</f>
        <v>Clinical Staffing Agreement - Fastaff LLC.pdf</v>
      </c>
      <c r="W12" s="28" t="s">
        <v>1187</v>
      </c>
      <c r="X12" s="9" t="str">
        <f>HYPERLINK(_xlfn.CONCAT(Table13[[#This Row],[ParentFolder]],"\",Table13[[#This Row],[FILE_NAME_2]]),Table13[[#This Row],[FILE_NAME_2]])</f>
        <v>Fastaff Q4 2025 Rebates Jan 2026.xlsx</v>
      </c>
      <c r="Y12" s="28"/>
      <c r="Z12" s="9"/>
      <c r="AA12" s="28"/>
      <c r="AB12" s="9"/>
    </row>
    <row r="13" spans="1:28" x14ac:dyDescent="0.25">
      <c r="A13" s="28">
        <v>88002366</v>
      </c>
      <c r="B13" s="28" t="s">
        <v>280</v>
      </c>
      <c r="C13" s="28" t="s">
        <v>76</v>
      </c>
      <c r="D13" s="28" t="s">
        <v>298</v>
      </c>
      <c r="E13" s="28" t="s">
        <v>282</v>
      </c>
      <c r="F13" s="28" t="s">
        <v>68</v>
      </c>
      <c r="G13" s="28" t="s">
        <v>299</v>
      </c>
      <c r="H13" s="28" t="s">
        <v>1188</v>
      </c>
      <c r="I13" s="28" t="s">
        <v>153</v>
      </c>
      <c r="J13" s="28" t="s">
        <v>1189</v>
      </c>
      <c r="K13" s="29">
        <v>2212</v>
      </c>
      <c r="L13" s="26">
        <v>0</v>
      </c>
      <c r="M13" s="26">
        <v>0</v>
      </c>
      <c r="N13" s="26">
        <v>0</v>
      </c>
      <c r="O13" s="26">
        <v>2212</v>
      </c>
      <c r="P13" s="26">
        <v>0</v>
      </c>
      <c r="Q13" s="26">
        <v>0</v>
      </c>
      <c r="R13" s="26">
        <v>0</v>
      </c>
      <c r="S13" s="26">
        <v>0</v>
      </c>
      <c r="T13" t="s">
        <v>211</v>
      </c>
      <c r="U13" s="28" t="s">
        <v>954</v>
      </c>
      <c r="V13" s="9" t="str">
        <f>HYPERLINK(_xlfn.CONCAT(Table13[[#This Row],[ParentFolder]],"\",Table13[[#This Row],[FILE_NAME_1]]),Table13[[#This Row],[FILE_NAME_1]])</f>
        <v>Clinical Staffing Agreement - Fastaff LLC.pdf</v>
      </c>
      <c r="W13" s="28" t="s">
        <v>1187</v>
      </c>
      <c r="X13" s="9" t="str">
        <f>HYPERLINK(_xlfn.CONCAT(Table13[[#This Row],[ParentFolder]],"\",Table13[[#This Row],[FILE_NAME_2]]),Table13[[#This Row],[FILE_NAME_2]])</f>
        <v>Fastaff Q4 2025 Rebates Jan 2026.xlsx</v>
      </c>
      <c r="Y13" s="28"/>
      <c r="Z13" s="9"/>
      <c r="AA13" s="28"/>
      <c r="AB13" s="9"/>
    </row>
    <row r="14" spans="1:28" x14ac:dyDescent="0.25">
      <c r="A14" s="28">
        <v>88002367</v>
      </c>
      <c r="B14" s="28" t="s">
        <v>280</v>
      </c>
      <c r="C14" s="28" t="s">
        <v>76</v>
      </c>
      <c r="D14" s="28" t="s">
        <v>298</v>
      </c>
      <c r="E14" s="28" t="s">
        <v>282</v>
      </c>
      <c r="F14" s="28" t="s">
        <v>68</v>
      </c>
      <c r="G14" s="28" t="s">
        <v>299</v>
      </c>
      <c r="H14" s="28" t="s">
        <v>1185</v>
      </c>
      <c r="I14" s="28" t="s">
        <v>153</v>
      </c>
      <c r="J14" s="28" t="s">
        <v>1190</v>
      </c>
      <c r="K14" s="29">
        <v>8621</v>
      </c>
      <c r="L14" s="26">
        <v>0</v>
      </c>
      <c r="M14" s="26">
        <v>0</v>
      </c>
      <c r="N14" s="26">
        <v>0</v>
      </c>
      <c r="O14" s="26">
        <v>0</v>
      </c>
      <c r="P14" s="26">
        <v>8621</v>
      </c>
      <c r="Q14" s="26">
        <v>0</v>
      </c>
      <c r="R14" s="26">
        <v>0</v>
      </c>
      <c r="S14" s="26">
        <v>0</v>
      </c>
      <c r="T14" t="s">
        <v>211</v>
      </c>
      <c r="U14" s="28" t="s">
        <v>954</v>
      </c>
      <c r="V14" s="9" t="str">
        <f>HYPERLINK(_xlfn.CONCAT(Table13[[#This Row],[ParentFolder]],"\",Table13[[#This Row],[FILE_NAME_1]]),Table13[[#This Row],[FILE_NAME_1]])</f>
        <v>Clinical Staffing Agreement - Fastaff LLC.pdf</v>
      </c>
      <c r="W14" s="28" t="s">
        <v>1187</v>
      </c>
      <c r="X14" s="9" t="str">
        <f>HYPERLINK(_xlfn.CONCAT(Table13[[#This Row],[ParentFolder]],"\",Table13[[#This Row],[FILE_NAME_2]]),Table13[[#This Row],[FILE_NAME_2]])</f>
        <v>Fastaff Q4 2025 Rebates Jan 2026.xlsx</v>
      </c>
      <c r="Y14" s="28"/>
      <c r="Z14" s="9"/>
      <c r="AA14" s="28"/>
      <c r="AB14" s="9"/>
    </row>
    <row r="15" spans="1:28" x14ac:dyDescent="0.25">
      <c r="A15" s="28">
        <v>88002368</v>
      </c>
      <c r="B15" s="28" t="s">
        <v>1191</v>
      </c>
      <c r="C15" s="28" t="s">
        <v>76</v>
      </c>
      <c r="D15" s="28" t="s">
        <v>112</v>
      </c>
      <c r="E15" s="28" t="s">
        <v>58</v>
      </c>
      <c r="F15" s="28" t="s">
        <v>68</v>
      </c>
      <c r="G15" s="28" t="s">
        <v>114</v>
      </c>
      <c r="H15" s="28" t="s">
        <v>989</v>
      </c>
      <c r="I15" s="28" t="s">
        <v>218</v>
      </c>
      <c r="J15" s="28" t="s">
        <v>1192</v>
      </c>
      <c r="K15" s="29">
        <v>42300</v>
      </c>
      <c r="L15" s="26">
        <v>26300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16000</v>
      </c>
      <c r="T15" t="s">
        <v>211</v>
      </c>
      <c r="U15" s="28" t="s">
        <v>1193</v>
      </c>
      <c r="V15" s="9" t="str">
        <f>HYPERLINK(_xlfn.CONCAT(Table13[[#This Row],[ParentFolder]],"\",Table13[[#This Row],[FILE_NAME_1]]),Table13[[#This Row],[FILE_NAME_1]])</f>
        <v>BW 2025Q2 Buyback ACH .png</v>
      </c>
      <c r="W15" s="28" t="s">
        <v>1194</v>
      </c>
      <c r="X15" s="9" t="str">
        <f>HYPERLINK(_xlfn.CONCAT(Table13[[#This Row],[ParentFolder]],"\",Table13[[#This Row],[FILE_NAME_2]]),Table13[[#This Row],[FILE_NAME_2]])</f>
        <v>BWI Buyback Montefiore Medical Center 2Q25_CUST.xlsx</v>
      </c>
      <c r="Y15" s="28"/>
      <c r="Z15" s="9"/>
      <c r="AA15" s="28"/>
      <c r="AB15" s="9"/>
    </row>
    <row r="16" spans="1:28" x14ac:dyDescent="0.25">
      <c r="A16" s="28">
        <v>88002369</v>
      </c>
      <c r="B16" s="28" t="s">
        <v>1195</v>
      </c>
      <c r="C16" s="28" t="s">
        <v>76</v>
      </c>
      <c r="D16" s="28" t="s">
        <v>1196</v>
      </c>
      <c r="E16" s="28" t="s">
        <v>1031</v>
      </c>
      <c r="F16" s="28" t="s">
        <v>102</v>
      </c>
      <c r="G16" s="28" t="s">
        <v>1197</v>
      </c>
      <c r="H16" s="28" t="s">
        <v>1175</v>
      </c>
      <c r="I16" s="28" t="s">
        <v>218</v>
      </c>
      <c r="J16" s="28" t="s">
        <v>1198</v>
      </c>
      <c r="K16" s="29">
        <v>137043</v>
      </c>
      <c r="L16" s="26">
        <v>81924</v>
      </c>
      <c r="M16" s="26">
        <v>0</v>
      </c>
      <c r="N16" s="26">
        <v>0</v>
      </c>
      <c r="O16" s="26">
        <v>116</v>
      </c>
      <c r="P16" s="26">
        <v>1623</v>
      </c>
      <c r="Q16" s="26">
        <v>1188</v>
      </c>
      <c r="R16" s="26">
        <v>5291</v>
      </c>
      <c r="S16" s="26">
        <v>46901</v>
      </c>
      <c r="T16" t="s">
        <v>211</v>
      </c>
      <c r="U16" s="28" t="s">
        <v>1199</v>
      </c>
      <c r="V16" s="9" t="str">
        <f>HYPERLINK(_xlfn.CONCAT(Table13[[#This Row],[ParentFolder]],"\",Table13[[#This Row],[FILE_NAME_1]]),Table13[[#This Row],[FILE_NAME_1]])</f>
        <v>JnJ Ethicon Biosurgery Rebate 10.15.24 to 10.14.25.xlsx</v>
      </c>
      <c r="W16" s="28"/>
      <c r="X16" s="9"/>
      <c r="Y16" s="28"/>
      <c r="Z16" s="9"/>
      <c r="AA16" s="28"/>
      <c r="AB16" s="9"/>
    </row>
    <row r="17" spans="1:28" x14ac:dyDescent="0.25">
      <c r="A17" s="28">
        <v>88002370</v>
      </c>
      <c r="B17" s="28" t="s">
        <v>1200</v>
      </c>
      <c r="C17" s="28" t="s">
        <v>64</v>
      </c>
      <c r="D17" s="28" t="s">
        <v>1037</v>
      </c>
      <c r="E17" s="28" t="s">
        <v>88</v>
      </c>
      <c r="F17" s="28" t="s">
        <v>68</v>
      </c>
      <c r="G17" s="28" t="s">
        <v>1038</v>
      </c>
      <c r="H17" s="28" t="s">
        <v>1201</v>
      </c>
      <c r="I17" s="28" t="s">
        <v>218</v>
      </c>
      <c r="J17" s="28" t="s">
        <v>1202</v>
      </c>
      <c r="K17" s="29">
        <v>267371</v>
      </c>
      <c r="L17" s="26">
        <v>262250</v>
      </c>
      <c r="M17" s="26">
        <v>0</v>
      </c>
      <c r="N17" s="26">
        <v>0</v>
      </c>
      <c r="O17" s="26">
        <v>3283</v>
      </c>
      <c r="P17" s="26">
        <v>1291</v>
      </c>
      <c r="Q17" s="26">
        <v>547</v>
      </c>
      <c r="R17" s="26">
        <v>0</v>
      </c>
      <c r="S17" s="26">
        <v>0</v>
      </c>
      <c r="T17" t="s">
        <v>211</v>
      </c>
      <c r="U17" s="28" t="s">
        <v>1203</v>
      </c>
      <c r="V17" s="9" t="str">
        <f>HYPERLINK(_xlfn.CONCAT(Table13[[#This Row],[ParentFolder]],"\",Table13[[#This Row],[FILE_NAME_1]]),Table13[[#This Row],[FILE_NAME_1]])</f>
        <v>Molnlycke Loyalty Rebate Sept2024-Aug2025.xlsx</v>
      </c>
      <c r="W17" s="28"/>
      <c r="X17" s="9"/>
      <c r="Y17" s="28"/>
      <c r="Z17" s="9"/>
      <c r="AA17" s="28"/>
      <c r="AB17" s="9"/>
    </row>
    <row r="18" spans="1:28" x14ac:dyDescent="0.25">
      <c r="A18" s="28">
        <v>88002371</v>
      </c>
      <c r="B18" s="28" t="s">
        <v>1204</v>
      </c>
      <c r="C18" s="28" t="s">
        <v>76</v>
      </c>
      <c r="D18" s="28" t="s">
        <v>1205</v>
      </c>
      <c r="E18" s="28" t="s">
        <v>1206</v>
      </c>
      <c r="F18" s="28" t="s">
        <v>68</v>
      </c>
      <c r="G18" s="28" t="s">
        <v>939</v>
      </c>
      <c r="H18" s="28" t="s">
        <v>1207</v>
      </c>
      <c r="I18" s="28" t="s">
        <v>218</v>
      </c>
      <c r="J18" s="28" t="s">
        <v>1208</v>
      </c>
      <c r="K18" s="29">
        <v>6106</v>
      </c>
      <c r="L18" s="26">
        <v>6106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t="s">
        <v>211</v>
      </c>
      <c r="U18" s="28" t="s">
        <v>1209</v>
      </c>
      <c r="V18" s="9" t="str">
        <f>HYPERLINK(_xlfn.CONCAT(Table13[[#This Row],[ParentFolder]],"\",Table13[[#This Row],[FILE_NAME_1]]),Table13[[#This Row],[FILE_NAME_1]])</f>
        <v>MHS confirmation - Superior vending - rebate wire transfer 02.18.26.pdf</v>
      </c>
      <c r="W18" s="28" t="s">
        <v>1210</v>
      </c>
      <c r="X18" s="9" t="str">
        <f>HYPERLINK(_xlfn.CONCAT(Table13[[#This Row],[ParentFolder]],"\",Table13[[#This Row],[FILE_NAME_2]]),Table13[[#This Row],[FILE_NAME_2]])</f>
        <v>Vendor confirmation Superior vending - rebate wire transfer 02.18.26.pdf</v>
      </c>
      <c r="Y18" s="28"/>
      <c r="Z18" s="9"/>
      <c r="AA18" s="28"/>
      <c r="AB18" s="9"/>
    </row>
    <row r="19" spans="1:28" x14ac:dyDescent="0.25">
      <c r="A19" s="28">
        <v>88002372</v>
      </c>
      <c r="B19" s="28" t="s">
        <v>1211</v>
      </c>
      <c r="C19" s="28" t="s">
        <v>76</v>
      </c>
      <c r="D19" s="28" t="s">
        <v>183</v>
      </c>
      <c r="E19" s="28" t="s">
        <v>136</v>
      </c>
      <c r="F19" s="28" t="s">
        <v>102</v>
      </c>
      <c r="G19" s="28" t="s">
        <v>137</v>
      </c>
      <c r="H19" s="28" t="s">
        <v>1207</v>
      </c>
      <c r="I19" s="28" t="s">
        <v>184</v>
      </c>
      <c r="J19" s="28" t="s">
        <v>876</v>
      </c>
      <c r="K19" s="29">
        <v>139073</v>
      </c>
      <c r="L19" s="26">
        <v>30855</v>
      </c>
      <c r="M19" s="26">
        <v>258</v>
      </c>
      <c r="N19" s="26">
        <v>0</v>
      </c>
      <c r="O19" s="26">
        <v>110</v>
      </c>
      <c r="P19" s="26">
        <v>1158</v>
      </c>
      <c r="Q19" s="26">
        <v>1223</v>
      </c>
      <c r="R19" s="26">
        <v>1019</v>
      </c>
      <c r="S19" s="26">
        <v>104450</v>
      </c>
      <c r="T19" t="s">
        <v>211</v>
      </c>
      <c r="U19" s="28" t="s">
        <v>1212</v>
      </c>
      <c r="V19" s="9" t="str">
        <f>HYPERLINK(_xlfn.CONCAT(Table13[[#This Row],[ParentFolder]],"\",Table13[[#This Row],[FILE_NAME_1]]),Table13[[#This Row],[FILE_NAME_1]])</f>
        <v>Q 4 2025 Premier - Rebates Paid.xlsx</v>
      </c>
      <c r="W19" s="28"/>
      <c r="X19" s="9"/>
      <c r="Y19" s="28"/>
      <c r="Z19" s="9"/>
      <c r="AA19" s="28"/>
      <c r="AB19" s="9"/>
    </row>
    <row r="20" spans="1:28" x14ac:dyDescent="0.25">
      <c r="A20" s="28">
        <v>88002376</v>
      </c>
      <c r="B20" s="28" t="s">
        <v>1213</v>
      </c>
      <c r="C20" s="28" t="s">
        <v>64</v>
      </c>
      <c r="D20" s="28" t="s">
        <v>643</v>
      </c>
      <c r="E20" s="28" t="s">
        <v>88</v>
      </c>
      <c r="F20" s="28" t="s">
        <v>68</v>
      </c>
      <c r="G20" s="28" t="s">
        <v>216</v>
      </c>
      <c r="H20" s="28" t="s">
        <v>1214</v>
      </c>
      <c r="I20" s="28" t="s">
        <v>218</v>
      </c>
      <c r="J20" s="28" t="s">
        <v>1215</v>
      </c>
      <c r="K20" s="29">
        <v>510027</v>
      </c>
      <c r="L20" s="26">
        <v>319726</v>
      </c>
      <c r="M20" s="26">
        <v>1171</v>
      </c>
      <c r="N20" s="26">
        <v>-699</v>
      </c>
      <c r="O20" s="26">
        <v>4519</v>
      </c>
      <c r="P20" s="26">
        <v>6061</v>
      </c>
      <c r="Q20" s="26">
        <v>51326</v>
      </c>
      <c r="R20" s="26">
        <v>16352</v>
      </c>
      <c r="S20" s="26">
        <v>111571</v>
      </c>
      <c r="T20" t="s">
        <v>211</v>
      </c>
      <c r="U20" s="28" t="s">
        <v>1216</v>
      </c>
      <c r="V20" s="9" t="str">
        <f>HYPERLINK(_xlfn.CONCAT(Table13[[#This Row],[ParentFolder]],"\",Table13[[#This Row],[FILE_NAME_1]]),Table13[[#This Row],[FILE_NAME_1]])</f>
        <v>BD SCA Rebate July2025-Dec2025.xlsx</v>
      </c>
      <c r="W20" s="28"/>
      <c r="X20" s="9"/>
      <c r="Y20" s="28"/>
      <c r="Z20" s="9"/>
      <c r="AA20" s="28"/>
      <c r="AB20" s="9"/>
    </row>
    <row r="21" spans="1:28" x14ac:dyDescent="0.25">
      <c r="A21" s="28">
        <v>88002377</v>
      </c>
      <c r="B21" s="28" t="s">
        <v>1217</v>
      </c>
      <c r="C21" s="28" t="s">
        <v>76</v>
      </c>
      <c r="D21" s="28" t="s">
        <v>112</v>
      </c>
      <c r="E21" s="28" t="s">
        <v>58</v>
      </c>
      <c r="F21" s="28" t="s">
        <v>68</v>
      </c>
      <c r="G21" s="28" t="s">
        <v>114</v>
      </c>
      <c r="H21" s="28" t="s">
        <v>1218</v>
      </c>
      <c r="I21" s="28" t="s">
        <v>218</v>
      </c>
      <c r="J21" s="28" t="s">
        <v>1219</v>
      </c>
      <c r="K21" s="29">
        <v>43100</v>
      </c>
      <c r="L21" s="26">
        <v>24300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18800</v>
      </c>
      <c r="T21" t="s">
        <v>211</v>
      </c>
      <c r="U21" s="28" t="s">
        <v>1220</v>
      </c>
      <c r="V21" s="9" t="str">
        <f>HYPERLINK(_xlfn.CONCAT(Table13[[#This Row],[ParentFolder]],"\",Table13[[#This Row],[FILE_NAME_1]]),Table13[[#This Row],[FILE_NAME_1]])</f>
        <v>BWI Buyback 2025Q3 ACH.pdf</v>
      </c>
      <c r="W21" s="28" t="s">
        <v>1221</v>
      </c>
      <c r="X21" s="9" t="str">
        <f>HYPERLINK(_xlfn.CONCAT(Table13[[#This Row],[ParentFolder]],"\",Table13[[#This Row],[FILE_NAME_2]]),Table13[[#This Row],[FILE_NAME_2]])</f>
        <v>BWI Buyback 2025Q3 Rebate Breakdown.xlsx</v>
      </c>
      <c r="Y21" s="28"/>
      <c r="Z21" s="9"/>
      <c r="AA21" s="28"/>
      <c r="AB21" s="9"/>
    </row>
    <row r="22" spans="1:28" x14ac:dyDescent="0.25">
      <c r="A22" s="28">
        <v>88002378</v>
      </c>
      <c r="B22" s="28" t="s">
        <v>1222</v>
      </c>
      <c r="C22" s="28" t="s">
        <v>76</v>
      </c>
      <c r="D22" s="28" t="s">
        <v>59</v>
      </c>
      <c r="E22" s="28" t="s">
        <v>58</v>
      </c>
      <c r="F22" s="28" t="s">
        <v>68</v>
      </c>
      <c r="G22" s="28" t="s">
        <v>67</v>
      </c>
      <c r="H22" s="28" t="s">
        <v>1223</v>
      </c>
      <c r="I22" s="28" t="s">
        <v>218</v>
      </c>
      <c r="J22" s="28" t="s">
        <v>1224</v>
      </c>
      <c r="K22" s="29">
        <v>32400</v>
      </c>
      <c r="L22" s="26">
        <v>32400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t="s">
        <v>211</v>
      </c>
      <c r="U22" s="28" t="s">
        <v>1225</v>
      </c>
      <c r="V22" s="9" t="str">
        <f>HYPERLINK(_xlfn.CONCAT(Table13[[#This Row],[ParentFolder]],"\",Table13[[#This Row],[FILE_NAME_1]]),Table13[[#This Row],[FILE_NAME_1]])</f>
        <v>Edwards Pascal 2025Q4 Rebate Breakdown.xlsx</v>
      </c>
      <c r="W22" s="28" t="s">
        <v>1226</v>
      </c>
      <c r="X22" s="9" t="str">
        <f>HYPERLINK(_xlfn.CONCAT(Table13[[#This Row],[ParentFolder]],"\",Table13[[#This Row],[FILE_NAME_2]]),Table13[[#This Row],[FILE_NAME_2]])</f>
        <v>Edwards Pascal 2025Q4 Rebate Letter.pdf</v>
      </c>
      <c r="Y22" s="28" t="s">
        <v>1227</v>
      </c>
      <c r="Z22" s="9" t="str">
        <f>HYPERLINK(_xlfn.CONCAT(Table13[[#This Row],[ParentFolder]],"\",Table13[[#This Row],[FILE_NAME_3]]),Table13[[#This Row],[FILE_NAME_3]])</f>
        <v>Edwards Pascal ACH 2025Q4.pdf</v>
      </c>
      <c r="AA22" s="28"/>
      <c r="AB22" s="9"/>
    </row>
    <row r="23" spans="1:28" x14ac:dyDescent="0.25">
      <c r="A23" s="28">
        <v>88002379</v>
      </c>
      <c r="B23" s="28" t="s">
        <v>1228</v>
      </c>
      <c r="C23" s="28" t="s">
        <v>76</v>
      </c>
      <c r="D23" s="28" t="s">
        <v>70</v>
      </c>
      <c r="E23" s="28" t="s">
        <v>58</v>
      </c>
      <c r="F23" s="28" t="s">
        <v>68</v>
      </c>
      <c r="G23" s="28" t="s">
        <v>67</v>
      </c>
      <c r="H23" s="28" t="s">
        <v>1223</v>
      </c>
      <c r="I23" s="28" t="s">
        <v>218</v>
      </c>
      <c r="J23" s="28" t="s">
        <v>1229</v>
      </c>
      <c r="K23" s="29">
        <v>108000</v>
      </c>
      <c r="L23" s="26">
        <v>108000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t="s">
        <v>211</v>
      </c>
      <c r="U23" s="28" t="s">
        <v>1230</v>
      </c>
      <c r="V23" s="9" t="str">
        <f>HYPERLINK(_xlfn.CONCAT(Table13[[#This Row],[ParentFolder]],"\",Table13[[#This Row],[FILE_NAME_1]]),Table13[[#This Row],[FILE_NAME_1]])</f>
        <v>Edwards TAVR 2025Q4 ACH MMC.pdf</v>
      </c>
      <c r="W23" s="28" t="s">
        <v>1231</v>
      </c>
      <c r="X23" s="9" t="str">
        <f>HYPERLINK(_xlfn.CONCAT(Table13[[#This Row],[ParentFolder]],"\",Table13[[#This Row],[FILE_NAME_2]]),Table13[[#This Row],[FILE_NAME_2]])</f>
        <v>Edwards TAVR 2025Q4 MMC Rebate Letter and Breakdown.pdf</v>
      </c>
      <c r="Y23" s="28"/>
      <c r="Z23" s="9"/>
      <c r="AA23" s="28"/>
      <c r="AB23" s="9"/>
    </row>
    <row r="24" spans="1:28" x14ac:dyDescent="0.25">
      <c r="A24" s="28">
        <v>88002380</v>
      </c>
      <c r="B24" s="28" t="s">
        <v>1232</v>
      </c>
      <c r="C24" s="28" t="s">
        <v>76</v>
      </c>
      <c r="D24" s="28" t="s">
        <v>70</v>
      </c>
      <c r="E24" s="28" t="s">
        <v>58</v>
      </c>
      <c r="F24" s="28" t="s">
        <v>68</v>
      </c>
      <c r="G24" s="28" t="s">
        <v>67</v>
      </c>
      <c r="H24" s="28" t="s">
        <v>1233</v>
      </c>
      <c r="I24" s="28" t="s">
        <v>266</v>
      </c>
      <c r="J24" s="28" t="s">
        <v>1234</v>
      </c>
      <c r="K24" s="29">
        <v>96000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96000</v>
      </c>
      <c r="T24" t="s">
        <v>211</v>
      </c>
      <c r="U24" s="28" t="s">
        <v>1235</v>
      </c>
      <c r="V24" s="9" t="str">
        <f>HYPERLINK(_xlfn.CONCAT(Table13[[#This Row],[ParentFolder]],"\",Table13[[#This Row],[FILE_NAME_1]]),Table13[[#This Row],[FILE_NAME_1]])</f>
        <v>Edwards TAVR 2025Q4 WPH Rebate Letter Breakdown and Credit Memo.pdf</v>
      </c>
      <c r="W24" s="28"/>
      <c r="X24" s="9"/>
      <c r="Y24" s="28"/>
      <c r="Z24" s="9"/>
      <c r="AA24" s="28"/>
      <c r="AB24" s="9"/>
    </row>
    <row r="25" spans="1:28" x14ac:dyDescent="0.25">
      <c r="A25" s="28">
        <v>88002381</v>
      </c>
      <c r="B25" s="28" t="s">
        <v>1236</v>
      </c>
      <c r="C25" s="28" t="s">
        <v>76</v>
      </c>
      <c r="D25" s="28" t="s">
        <v>1237</v>
      </c>
      <c r="E25" s="28" t="s">
        <v>58</v>
      </c>
      <c r="F25" s="28" t="s">
        <v>68</v>
      </c>
      <c r="G25" s="28" t="s">
        <v>97</v>
      </c>
      <c r="H25" s="28" t="s">
        <v>1238</v>
      </c>
      <c r="I25" s="28" t="s">
        <v>266</v>
      </c>
      <c r="J25" s="28" t="s">
        <v>1239</v>
      </c>
      <c r="K25" s="29">
        <v>22110</v>
      </c>
      <c r="L25" s="26">
        <v>22110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t="s">
        <v>211</v>
      </c>
      <c r="U25" s="28" t="s">
        <v>1240</v>
      </c>
      <c r="V25" s="9" t="str">
        <f>HYPERLINK(_xlfn.CONCAT(Table13[[#This Row],[ParentFolder]],"\",Table13[[#This Row],[FILE_NAME_1]]),Table13[[#This Row],[FILE_NAME_1]])</f>
        <v>Medtronic CRM MICRA Rebate Breakdown Einstein 2.9.26.xlsx</v>
      </c>
      <c r="W25" s="28" t="s">
        <v>1241</v>
      </c>
      <c r="X25" s="9" t="str">
        <f>HYPERLINK(_xlfn.CONCAT(Table13[[#This Row],[ParentFolder]],"\",Table13[[#This Row],[FILE_NAME_2]]),Table13[[#This Row],[FILE_NAME_2]])</f>
        <v>Medtronic CRM MICRA Rebate Breakdown Moses 2.9.26.xlsx</v>
      </c>
      <c r="Y25" s="28" t="s">
        <v>1242</v>
      </c>
      <c r="Z25" s="9" t="str">
        <f>HYPERLINK(_xlfn.CONCAT(Table13[[#This Row],[ParentFolder]],"\",Table13[[#This Row],[FILE_NAME_3]]),Table13[[#This Row],[FILE_NAME_3]])</f>
        <v>Medtronic CRM MICRA Rebate Credit Memo Moses.pdf</v>
      </c>
      <c r="AA25" s="28" t="s">
        <v>1243</v>
      </c>
      <c r="AB25" s="9" t="str">
        <f>HYPERLINK(_xlfn.CONCAT(Table13[[#This Row],[ParentFolder]],"\",Table13[[#This Row],[FILE_NAME_4]]),Table13[[#This Row],[FILE_NAME_4]])</f>
        <v>Medtronic MICRA Rebate Credit Memo Einstein 2.9.26.pdf</v>
      </c>
    </row>
    <row r="26" spans="1:28" x14ac:dyDescent="0.25">
      <c r="A26" s="28">
        <v>88002382</v>
      </c>
      <c r="B26" s="28" t="s">
        <v>1244</v>
      </c>
      <c r="C26" s="28" t="s">
        <v>76</v>
      </c>
      <c r="D26" s="28" t="s">
        <v>95</v>
      </c>
      <c r="E26" s="28" t="s">
        <v>58</v>
      </c>
      <c r="F26" s="28" t="s">
        <v>68</v>
      </c>
      <c r="G26" s="28" t="s">
        <v>97</v>
      </c>
      <c r="H26" s="28" t="s">
        <v>1245</v>
      </c>
      <c r="I26" s="28" t="s">
        <v>266</v>
      </c>
      <c r="J26" s="28" t="s">
        <v>1246</v>
      </c>
      <c r="K26" s="29">
        <v>65000</v>
      </c>
      <c r="L26" s="26">
        <v>65000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t="s">
        <v>211</v>
      </c>
      <c r="U26" s="28" t="s">
        <v>1247</v>
      </c>
      <c r="V26" s="9" t="str">
        <f>HYPERLINK(_xlfn.CONCAT(Table13[[#This Row],[ParentFolder]],"\",Table13[[#This Row],[FILE_NAME_1]]),Table13[[#This Row],[FILE_NAME_1]])</f>
        <v>Medtronic TAVR 2025Q3 Credit Memo.pdf</v>
      </c>
      <c r="W26" s="28" t="s">
        <v>1248</v>
      </c>
      <c r="X26" s="9" t="str">
        <f>HYPERLINK(_xlfn.CONCAT(Table13[[#This Row],[ParentFolder]],"\",Table13[[#This Row],[FILE_NAME_2]]),Table13[[#This Row],[FILE_NAME_2]])</f>
        <v>Medtronic TAVR 2025Q3 Rebate Breakdown.xlsx</v>
      </c>
      <c r="Y26" s="28" t="s">
        <v>1249</v>
      </c>
      <c r="Z26" s="9" t="str">
        <f>HYPERLINK(_xlfn.CONCAT(Table13[[#This Row],[ParentFolder]],"\",Table13[[#This Row],[FILE_NAME_3]]),Table13[[#This Row],[FILE_NAME_3]])</f>
        <v>Medtronic TAVR 2025Q3 Rebate Letter.pdf</v>
      </c>
      <c r="AA26" s="28"/>
      <c r="AB26" s="9"/>
    </row>
    <row r="27" spans="1:28" x14ac:dyDescent="0.25">
      <c r="A27" s="28">
        <v>88002383</v>
      </c>
      <c r="B27" s="28" t="s">
        <v>827</v>
      </c>
      <c r="C27" s="28" t="s">
        <v>76</v>
      </c>
      <c r="D27" s="28" t="s">
        <v>259</v>
      </c>
      <c r="E27" s="28" t="s">
        <v>58</v>
      </c>
      <c r="F27" s="28" t="s">
        <v>68</v>
      </c>
      <c r="G27" s="28" t="s">
        <v>114</v>
      </c>
      <c r="H27" s="28" t="s">
        <v>1223</v>
      </c>
      <c r="I27" s="28" t="s">
        <v>218</v>
      </c>
      <c r="J27" s="28" t="s">
        <v>1250</v>
      </c>
      <c r="K27" s="29">
        <v>4515</v>
      </c>
      <c r="L27" s="26">
        <v>3149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1366</v>
      </c>
      <c r="T27" t="s">
        <v>211</v>
      </c>
      <c r="U27" s="28" t="s">
        <v>1251</v>
      </c>
      <c r="V27" s="9" t="str">
        <f>HYPERLINK(_xlfn.CONCAT(Table13[[#This Row],[ParentFolder]],"\",Table13[[#This Row],[FILE_NAME_1]]),Table13[[#This Row],[FILE_NAME_1]])</f>
        <v>BWI EP Tip 2025Q3 Rebate Letter and Breakdown.xlsx</v>
      </c>
      <c r="W27" s="28" t="s">
        <v>1252</v>
      </c>
      <c r="X27" s="9" t="str">
        <f>HYPERLINK(_xlfn.CONCAT(Table13[[#This Row],[ParentFolder]],"\",Table13[[#This Row],[FILE_NAME_2]]),Table13[[#This Row],[FILE_NAME_2]])</f>
        <v>BWI Platinum Tip 2025Q3 Rebate ACH.png</v>
      </c>
      <c r="Y27" s="28"/>
      <c r="Z27" s="9"/>
      <c r="AA27" s="28"/>
      <c r="AB27" s="9"/>
    </row>
    <row r="28" spans="1:28" x14ac:dyDescent="0.25">
      <c r="A28" s="28">
        <v>88002384</v>
      </c>
      <c r="B28" s="28" t="s">
        <v>280</v>
      </c>
      <c r="C28" s="28" t="s">
        <v>76</v>
      </c>
      <c r="D28" s="28" t="s">
        <v>281</v>
      </c>
      <c r="E28" s="28" t="s">
        <v>282</v>
      </c>
      <c r="F28" s="28" t="s">
        <v>68</v>
      </c>
      <c r="G28" s="28" t="s">
        <v>283</v>
      </c>
      <c r="H28" s="28" t="s">
        <v>1253</v>
      </c>
      <c r="I28" s="28" t="s">
        <v>218</v>
      </c>
      <c r="J28" s="28" t="s">
        <v>1254</v>
      </c>
      <c r="K28" s="29">
        <v>40824</v>
      </c>
      <c r="L28" s="26">
        <v>38550</v>
      </c>
      <c r="M28" s="26">
        <v>0</v>
      </c>
      <c r="N28" s="26">
        <v>0</v>
      </c>
      <c r="O28" s="26">
        <v>0</v>
      </c>
      <c r="P28" s="26">
        <v>2274</v>
      </c>
      <c r="Q28" s="26">
        <v>0</v>
      </c>
      <c r="R28" s="26">
        <v>0</v>
      </c>
      <c r="S28" s="26">
        <v>0</v>
      </c>
      <c r="T28" t="s">
        <v>211</v>
      </c>
      <c r="U28" s="28" t="s">
        <v>1255</v>
      </c>
      <c r="V28" s="9" t="str">
        <f>HYPERLINK(_xlfn.CONCAT(Table13[[#This Row],[ParentFolder]],"\",Table13[[#This Row],[FILE_NAME_1]]),Table13[[#This Row],[FILE_NAME_1]])</f>
        <v>Winston Amendment to 2017 Montefiore Agreement w Exhibit - Fully Executed.pdf</v>
      </c>
      <c r="W28" s="28" t="s">
        <v>1256</v>
      </c>
      <c r="X28" s="9" t="str">
        <f>HYPERLINK(_xlfn.CONCAT(Table13[[#This Row],[ParentFolder]],"\",Table13[[#This Row],[FILE_NAME_2]]),Table13[[#This Row],[FILE_NAME_2]])</f>
        <v>Winston Q3 2025 Rebate.png</v>
      </c>
      <c r="Y28" s="28" t="s">
        <v>1257</v>
      </c>
      <c r="Z28" s="9" t="str">
        <f>HYPERLINK(_xlfn.CONCAT(Table13[[#This Row],[ParentFolder]],"\",Table13[[#This Row],[FILE_NAME_3]]),Table13[[#This Row],[FILE_NAME_3]])</f>
        <v>Winston Rebates 2024 - 2025 3.4.26.xlsx</v>
      </c>
      <c r="AA28" s="28"/>
      <c r="AB28" s="9"/>
    </row>
    <row r="29" spans="1:28" x14ac:dyDescent="0.25">
      <c r="A29" s="28">
        <v>88002385</v>
      </c>
      <c r="B29" s="28" t="s">
        <v>1258</v>
      </c>
      <c r="C29" s="28" t="s">
        <v>76</v>
      </c>
      <c r="D29" s="28" t="s">
        <v>281</v>
      </c>
      <c r="E29" s="28" t="s">
        <v>282</v>
      </c>
      <c r="F29" s="28" t="s">
        <v>68</v>
      </c>
      <c r="G29" s="28" t="s">
        <v>283</v>
      </c>
      <c r="H29" s="28" t="s">
        <v>1259</v>
      </c>
      <c r="I29" s="28" t="s">
        <v>218</v>
      </c>
      <c r="J29" s="28" t="s">
        <v>1260</v>
      </c>
      <c r="K29" s="29">
        <v>33441</v>
      </c>
      <c r="L29" s="26">
        <v>31548</v>
      </c>
      <c r="M29" s="26">
        <v>0</v>
      </c>
      <c r="N29" s="26">
        <v>0</v>
      </c>
      <c r="O29" s="26">
        <v>1893</v>
      </c>
      <c r="P29" s="26">
        <v>0</v>
      </c>
      <c r="Q29" s="26">
        <v>0</v>
      </c>
      <c r="R29" s="26">
        <v>0</v>
      </c>
      <c r="S29" s="26">
        <v>0</v>
      </c>
      <c r="T29" t="s">
        <v>211</v>
      </c>
      <c r="U29" s="28" t="s">
        <v>1255</v>
      </c>
      <c r="V29" s="9" t="str">
        <f>HYPERLINK(_xlfn.CONCAT(Table13[[#This Row],[ParentFolder]],"\",Table13[[#This Row],[FILE_NAME_1]]),Table13[[#This Row],[FILE_NAME_1]])</f>
        <v>Winston Amendment to 2017 Montefiore Agreement w Exhibit - Fully Executed.pdf</v>
      </c>
      <c r="W29" s="28" t="s">
        <v>1261</v>
      </c>
      <c r="X29" s="9" t="str">
        <f>HYPERLINK(_xlfn.CONCAT(Table13[[#This Row],[ParentFolder]],"\",Table13[[#This Row],[FILE_NAME_2]]),Table13[[#This Row],[FILE_NAME_2]])</f>
        <v>Winston Q4 2025 Rebate.pdf</v>
      </c>
      <c r="Y29" s="28" t="s">
        <v>1257</v>
      </c>
      <c r="Z29" s="9" t="str">
        <f>HYPERLINK(_xlfn.CONCAT(Table13[[#This Row],[ParentFolder]],"\",Table13[[#This Row],[FILE_NAME_3]]),Table13[[#This Row],[FILE_NAME_3]])</f>
        <v>Winston Rebates 2024 - 2025 3.4.26.xlsx</v>
      </c>
      <c r="AA29" s="28"/>
      <c r="AB29" s="9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AFBC-248C-4118-A4F0-B696D3656753}">
  <dimension ref="A1:AB14"/>
  <sheetViews>
    <sheetView topLeftCell="O1" workbookViewId="0">
      <selection activeCell="V2" sqref="V2"/>
    </sheetView>
  </sheetViews>
  <sheetFormatPr defaultRowHeight="15" x14ac:dyDescent="0.25"/>
  <cols>
    <col min="1" max="1" width="12.140625" customWidth="1"/>
    <col min="2" max="2" width="15.28515625" customWidth="1"/>
    <col min="3" max="3" width="14.28515625" customWidth="1"/>
    <col min="4" max="4" width="17.7109375" customWidth="1"/>
    <col min="5" max="5" width="18.28515625" customWidth="1"/>
    <col min="6" max="6" width="16.7109375" customWidth="1"/>
    <col min="7" max="7" width="14.5703125" customWidth="1"/>
    <col min="8" max="8" width="19.42578125" customWidth="1"/>
    <col min="9" max="9" width="21.5703125" customWidth="1"/>
    <col min="10" max="10" width="15.7109375" customWidth="1"/>
    <col min="11" max="11" width="15.85546875" customWidth="1"/>
    <col min="12" max="12" width="14.140625" bestFit="1" customWidth="1"/>
    <col min="13" max="13" width="14.7109375" customWidth="1"/>
    <col min="14" max="14" width="15.28515625" customWidth="1"/>
    <col min="15" max="15" width="14.42578125" customWidth="1"/>
    <col min="16" max="16" width="14.140625" customWidth="1"/>
    <col min="17" max="17" width="14.85546875" customWidth="1"/>
    <col min="18" max="18" width="13.7109375" customWidth="1"/>
    <col min="19" max="19" width="13.28515625" customWidth="1"/>
    <col min="20" max="20" width="19.7109375" customWidth="1"/>
    <col min="21" max="21" width="36.7109375" customWidth="1"/>
    <col min="22" max="22" width="82.7109375" bestFit="1" customWidth="1"/>
    <col min="23" max="23" width="56" hidden="1" customWidth="1"/>
    <col min="24" max="24" width="56" bestFit="1" customWidth="1"/>
    <col min="25" max="25" width="66.5703125" hidden="1" customWidth="1"/>
    <col min="26" max="26" width="66.5703125" bestFit="1" customWidth="1"/>
    <col min="27" max="27" width="29.28515625" hidden="1" customWidth="1"/>
    <col min="28" max="28" width="26.7109375" bestFit="1" customWidth="1"/>
    <col min="30" max="30" width="13.7109375" bestFit="1" customWidth="1"/>
    <col min="31" max="31" width="26.7109375" bestFit="1" customWidth="1"/>
    <col min="32" max="32" width="13.7109375" customWidth="1"/>
    <col min="34" max="36" width="13.28515625" customWidth="1"/>
  </cols>
  <sheetData>
    <row r="1" spans="1:28" x14ac:dyDescent="0.25">
      <c r="A1" s="21" t="s">
        <v>0</v>
      </c>
      <c r="B1" s="21" t="s">
        <v>115</v>
      </c>
      <c r="C1" s="21" t="s">
        <v>116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21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132</v>
      </c>
      <c r="T1" s="21" t="s">
        <v>336</v>
      </c>
      <c r="U1" s="21" t="s">
        <v>201</v>
      </c>
      <c r="V1" s="21" t="s">
        <v>204</v>
      </c>
      <c r="W1" s="21" t="s">
        <v>202</v>
      </c>
      <c r="X1" s="21" t="s">
        <v>205</v>
      </c>
      <c r="Y1" s="21" t="s">
        <v>203</v>
      </c>
      <c r="Z1" s="21" t="s">
        <v>206</v>
      </c>
      <c r="AA1" s="21" t="s">
        <v>374</v>
      </c>
      <c r="AB1" s="21" t="s">
        <v>373</v>
      </c>
    </row>
    <row r="2" spans="1:28" x14ac:dyDescent="0.25">
      <c r="A2" s="21">
        <v>88002331</v>
      </c>
      <c r="B2" s="21" t="s">
        <v>827</v>
      </c>
      <c r="C2" s="21" t="s">
        <v>76</v>
      </c>
      <c r="D2" s="21" t="s">
        <v>259</v>
      </c>
      <c r="E2" s="21" t="s">
        <v>58</v>
      </c>
      <c r="F2" s="21" t="s">
        <v>68</v>
      </c>
      <c r="G2" s="21" t="s">
        <v>114</v>
      </c>
      <c r="H2" s="21" t="s">
        <v>989</v>
      </c>
      <c r="I2" s="21" t="s">
        <v>218</v>
      </c>
      <c r="J2" s="21" t="s">
        <v>1084</v>
      </c>
      <c r="K2" s="27">
        <v>3127</v>
      </c>
      <c r="L2" s="26">
        <v>1949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1178</v>
      </c>
      <c r="T2" s="18" t="s">
        <v>211</v>
      </c>
      <c r="U2" s="21" t="s">
        <v>1085</v>
      </c>
      <c r="V2" s="9" t="str">
        <f>HYPERLINK(_xlfn.CONCAT(Table12[[#This Row],[ParentFolder]],"\",Table12[[#This Row],[FILE_NAME_1]]),Table12[[#This Row],[FILE_NAME_1]])</f>
        <v>Biosense Webster EP Tip ACH Info 2025Q2.png</v>
      </c>
      <c r="W2" s="21" t="s">
        <v>1086</v>
      </c>
      <c r="X2" s="9" t="str">
        <f>HYPERLINK(_xlfn.CONCAT(Table12[[#This Row],[ParentFolder]],"\",Table12[[#This Row],[FILE_NAME_2]]),Table12[[#This Row],[FILE_NAME_2]])</f>
        <v>Biosense Webster EP TIP Breakdown Montefiore Health 2025Q2.xlsx</v>
      </c>
      <c r="Y2" s="21"/>
      <c r="Z2" s="9"/>
      <c r="AA2" s="21"/>
      <c r="AB2" s="9"/>
    </row>
    <row r="3" spans="1:28" x14ac:dyDescent="0.25">
      <c r="A3" s="21">
        <v>88002332</v>
      </c>
      <c r="B3" s="21" t="s">
        <v>1087</v>
      </c>
      <c r="C3" s="21" t="s">
        <v>76</v>
      </c>
      <c r="D3" s="21" t="s">
        <v>1088</v>
      </c>
      <c r="E3" s="21" t="s">
        <v>58</v>
      </c>
      <c r="F3" s="21" t="s">
        <v>68</v>
      </c>
      <c r="G3" s="21" t="s">
        <v>1089</v>
      </c>
      <c r="H3" s="21" t="s">
        <v>1090</v>
      </c>
      <c r="I3" s="21" t="s">
        <v>218</v>
      </c>
      <c r="J3" s="21" t="s">
        <v>1091</v>
      </c>
      <c r="K3" s="27">
        <v>70000</v>
      </c>
      <c r="L3" s="26">
        <v>70000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18" t="s">
        <v>211</v>
      </c>
      <c r="U3" s="21" t="s">
        <v>1092</v>
      </c>
      <c r="V3" s="9" t="str">
        <f>HYPERLINK(_xlfn.CONCAT(Table12[[#This Row],[ParentFolder]],"\",Table12[[#This Row],[FILE_NAME_1]]),Table12[[#This Row],[FILE_NAME_1]])</f>
        <v>Biosense PFA Rebate ACH.png</v>
      </c>
      <c r="W3" s="21" t="s">
        <v>1093</v>
      </c>
      <c r="X3" s="9" t="str">
        <f>HYPERLINK(_xlfn.CONCAT(Table12[[#This Row],[ParentFolder]],"\",Table12[[#This Row],[FILE_NAME_2]]),Table12[[#This Row],[FILE_NAME_2]])</f>
        <v>Biosense Webster_Rebate Agreement FullyExecuted.pdf</v>
      </c>
      <c r="Y3" s="21" t="s">
        <v>1094</v>
      </c>
      <c r="Z3" s="9" t="str">
        <f>HYPERLINK(_xlfn.CONCAT(Table12[[#This Row],[ParentFolder]],"\",Table12[[#This Row],[FILE_NAME_3]]),Table12[[#This Row],[FILE_NAME_3]])</f>
        <v>BWI MMC PFA Rebate Excel 12.10.25.xlsx</v>
      </c>
      <c r="AA3" s="21" t="s">
        <v>1095</v>
      </c>
      <c r="AB3" s="9" t="str">
        <f>HYPERLINK(_xlfn.CONCAT(Table12[[#This Row],[ParentFolder]],"\",Table12[[#This Row],[FILE_NAME_4]]),Table12[[#This Row],[FILE_NAME_4]])</f>
        <v>BWI MMC PFA Rebate Letter.pdf</v>
      </c>
    </row>
    <row r="4" spans="1:28" x14ac:dyDescent="0.25">
      <c r="A4" s="21">
        <v>88002335</v>
      </c>
      <c r="B4" s="21" t="s">
        <v>1096</v>
      </c>
      <c r="C4" s="21" t="s">
        <v>76</v>
      </c>
      <c r="D4" s="21" t="s">
        <v>439</v>
      </c>
      <c r="E4" s="21" t="s">
        <v>58</v>
      </c>
      <c r="F4" s="21" t="s">
        <v>68</v>
      </c>
      <c r="G4" s="21" t="s">
        <v>172</v>
      </c>
      <c r="H4" s="21" t="s">
        <v>1097</v>
      </c>
      <c r="I4" s="21" t="s">
        <v>218</v>
      </c>
      <c r="J4" s="21" t="s">
        <v>1098</v>
      </c>
      <c r="K4" s="27">
        <v>304000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304000</v>
      </c>
      <c r="T4" s="18" t="s">
        <v>211</v>
      </c>
      <c r="U4" s="21" t="s">
        <v>1099</v>
      </c>
      <c r="V4" s="9" t="str">
        <f>HYPERLINK(_xlfn.CONCAT(Table12[[#This Row],[ParentFolder]],"\",Table12[[#This Row],[FILE_NAME_1]]),Table12[[#This Row],[FILE_NAME_1]])</f>
        <v>BSCI WPH PFA Rebate Letter and Breakdown 2025Q3.pdf</v>
      </c>
      <c r="W4" s="21" t="s">
        <v>513</v>
      </c>
      <c r="X4" s="9" t="str">
        <f>HYPERLINK(_xlfn.CONCAT(Table12[[#This Row],[ParentFolder]],"\",Table12[[#This Row],[FILE_NAME_2]]),Table12[[#This Row],[FILE_NAME_2]])</f>
        <v>MMC BSCI PFA Rebate Information 11.12.24.pdf</v>
      </c>
      <c r="Y4" s="21"/>
      <c r="Z4" s="9"/>
      <c r="AA4" s="21"/>
      <c r="AB4" s="9"/>
    </row>
    <row r="5" spans="1:28" x14ac:dyDescent="0.25">
      <c r="A5" s="21">
        <v>88002337</v>
      </c>
      <c r="B5" s="21" t="s">
        <v>1100</v>
      </c>
      <c r="C5" s="21" t="s">
        <v>76</v>
      </c>
      <c r="D5" s="21" t="s">
        <v>70</v>
      </c>
      <c r="E5" s="21" t="s">
        <v>58</v>
      </c>
      <c r="F5" s="21" t="s">
        <v>68</v>
      </c>
      <c r="G5" s="21" t="s">
        <v>67</v>
      </c>
      <c r="H5" s="21" t="s">
        <v>1101</v>
      </c>
      <c r="I5" s="21" t="s">
        <v>266</v>
      </c>
      <c r="J5" s="21" t="s">
        <v>1102</v>
      </c>
      <c r="K5" s="27">
        <v>164000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164000</v>
      </c>
      <c r="T5" s="18" t="s">
        <v>211</v>
      </c>
      <c r="U5" s="21" t="s">
        <v>902</v>
      </c>
      <c r="V5" s="9" t="str">
        <f>HYPERLINK(_xlfn.CONCAT(Table12[[#This Row],[ParentFolder]],"\",Table12[[#This Row],[FILE_NAME_1]]),Table12[[#This Row],[FILE_NAME_1]])</f>
        <v>Edwards TAVR Rebate Info 12.4.24.pdf</v>
      </c>
      <c r="W5" s="21" t="s">
        <v>1103</v>
      </c>
      <c r="X5" s="9" t="str">
        <f>HYPERLINK(_xlfn.CONCAT(Table12[[#This Row],[ParentFolder]],"\",Table12[[#This Row],[FILE_NAME_2]]),Table12[[#This Row],[FILE_NAME_2]])</f>
        <v>Edwards TAVR WPH 2025Q3 Rebate.pdf</v>
      </c>
      <c r="Y5" s="21" t="s">
        <v>1104</v>
      </c>
      <c r="Z5" s="9" t="str">
        <f>HYPERLINK(_xlfn.CONCAT(Table12[[#This Row],[ParentFolder]],"\",Table12[[#This Row],[FILE_NAME_3]]),Table12[[#This Row],[FILE_NAME_3]])</f>
        <v>Edwards TAVR WPH 2025Q3 Supplemental Rebate.pdf</v>
      </c>
      <c r="AA5" s="21"/>
      <c r="AB5" s="9"/>
    </row>
    <row r="6" spans="1:28" x14ac:dyDescent="0.25">
      <c r="A6" s="21">
        <v>88002338</v>
      </c>
      <c r="B6" s="21" t="s">
        <v>1105</v>
      </c>
      <c r="C6" s="21" t="s">
        <v>76</v>
      </c>
      <c r="D6" s="21" t="s">
        <v>70</v>
      </c>
      <c r="E6" s="21" t="s">
        <v>58</v>
      </c>
      <c r="F6" s="21" t="s">
        <v>68</v>
      </c>
      <c r="G6" s="21" t="s">
        <v>67</v>
      </c>
      <c r="H6" s="21" t="s">
        <v>1106</v>
      </c>
      <c r="I6" s="21" t="s">
        <v>218</v>
      </c>
      <c r="J6" s="21" t="s">
        <v>1107</v>
      </c>
      <c r="K6" s="27">
        <v>131000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131000</v>
      </c>
      <c r="T6" s="18" t="s">
        <v>211</v>
      </c>
      <c r="U6" s="21" t="s">
        <v>1108</v>
      </c>
      <c r="V6" s="9" t="str">
        <f>HYPERLINK(_xlfn.CONCAT(Table12[[#This Row],[ParentFolder]],"\",Table12[[#This Row],[FILE_NAME_1]]),Table12[[#This Row],[FILE_NAME_1]])</f>
        <v>Edwards MMC TAVR 2025Q3 Rebate.pdf</v>
      </c>
      <c r="W6" s="21" t="s">
        <v>1109</v>
      </c>
      <c r="X6" s="9" t="str">
        <f>HYPERLINK(_xlfn.CONCAT(Table12[[#This Row],[ParentFolder]],"\",Table12[[#This Row],[FILE_NAME_2]]),Table12[[#This Row],[FILE_NAME_2]])</f>
        <v>Edwards MMC TAVR Supplementary Rebate 2025Q3.pdf</v>
      </c>
      <c r="Y6" s="21" t="s">
        <v>902</v>
      </c>
      <c r="Z6" s="9" t="str">
        <f>HYPERLINK(_xlfn.CONCAT(Table12[[#This Row],[ParentFolder]],"\",Table12[[#This Row],[FILE_NAME_3]]),Table12[[#This Row],[FILE_NAME_3]])</f>
        <v>Edwards TAVR Rebate Info 12.4.24.pdf</v>
      </c>
      <c r="AA6" s="21"/>
      <c r="AB6" s="9"/>
    </row>
    <row r="7" spans="1:28" x14ac:dyDescent="0.25">
      <c r="A7" s="21">
        <v>88002339</v>
      </c>
      <c r="B7" s="21" t="s">
        <v>1110</v>
      </c>
      <c r="C7" s="21" t="s">
        <v>387</v>
      </c>
      <c r="D7" s="21" t="s">
        <v>1058</v>
      </c>
      <c r="E7" s="21" t="s">
        <v>136</v>
      </c>
      <c r="F7" s="21" t="s">
        <v>68</v>
      </c>
      <c r="G7" s="21" t="s">
        <v>1058</v>
      </c>
      <c r="H7" s="21" t="s">
        <v>1111</v>
      </c>
      <c r="I7" s="21" t="s">
        <v>218</v>
      </c>
      <c r="J7" s="21" t="s">
        <v>1112</v>
      </c>
      <c r="K7" s="27">
        <v>19646</v>
      </c>
      <c r="L7" s="26">
        <v>19646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18" t="s">
        <v>211</v>
      </c>
      <c r="U7" s="21" t="s">
        <v>1113</v>
      </c>
      <c r="V7" s="9" t="str">
        <f>HYPERLINK(_xlfn.CONCAT(Table12[[#This Row],[ParentFolder]],"\",Table12[[#This Row],[FILE_NAME_1]]),Table12[[#This Row],[FILE_NAME_1]])</f>
        <v>ThirdWave - 11.2025 Remittance .xlsx</v>
      </c>
      <c r="W7" s="21"/>
      <c r="X7" s="9"/>
      <c r="Y7" s="21"/>
      <c r="Z7" s="9"/>
      <c r="AA7" s="21"/>
      <c r="AB7" s="9"/>
    </row>
    <row r="8" spans="1:28" x14ac:dyDescent="0.25">
      <c r="A8" s="21">
        <v>88002340</v>
      </c>
      <c r="B8" s="21" t="s">
        <v>280</v>
      </c>
      <c r="C8" s="21" t="s">
        <v>76</v>
      </c>
      <c r="D8" s="21" t="s">
        <v>298</v>
      </c>
      <c r="E8" s="21" t="s">
        <v>282</v>
      </c>
      <c r="F8" s="21" t="s">
        <v>68</v>
      </c>
      <c r="G8" s="21" t="s">
        <v>299</v>
      </c>
      <c r="H8" s="21" t="s">
        <v>1114</v>
      </c>
      <c r="I8" s="21" t="s">
        <v>153</v>
      </c>
      <c r="J8" s="21" t="s">
        <v>1115</v>
      </c>
      <c r="K8" s="27">
        <v>85873</v>
      </c>
      <c r="L8" s="26">
        <v>85873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18" t="s">
        <v>211</v>
      </c>
      <c r="U8" s="21" t="s">
        <v>1116</v>
      </c>
      <c r="V8" s="9" t="str">
        <f>HYPERLINK(_xlfn.CONCAT(Table12[[#This Row],[ParentFolder]],"\",Table12[[#This Row],[FILE_NAME_1]]),Table12[[#This Row],[FILE_NAME_1]])</f>
        <v>Montefiore Fastaff Contract 2025 4.24.25.docx</v>
      </c>
      <c r="W8" s="21" t="s">
        <v>1117</v>
      </c>
      <c r="X8" s="9" t="str">
        <f>HYPERLINK(_xlfn.CONCAT(Table12[[#This Row],[ParentFolder]],"\",Table12[[#This Row],[FILE_NAME_2]]),Table12[[#This Row],[FILE_NAME_2]])</f>
        <v>Rebate thru Oct 2025.xlsx</v>
      </c>
      <c r="Y8" s="21"/>
      <c r="Z8" s="9"/>
      <c r="AA8" s="21"/>
      <c r="AB8" s="9"/>
    </row>
    <row r="9" spans="1:28" x14ac:dyDescent="0.25">
      <c r="A9" s="21">
        <v>88002341</v>
      </c>
      <c r="B9" s="21" t="s">
        <v>280</v>
      </c>
      <c r="C9" s="21" t="s">
        <v>76</v>
      </c>
      <c r="D9" s="21" t="s">
        <v>298</v>
      </c>
      <c r="E9" s="21" t="s">
        <v>282</v>
      </c>
      <c r="F9" s="21" t="s">
        <v>68</v>
      </c>
      <c r="G9" s="21" t="s">
        <v>299</v>
      </c>
      <c r="H9" s="21" t="s">
        <v>1118</v>
      </c>
      <c r="I9" s="21" t="s">
        <v>153</v>
      </c>
      <c r="J9" s="21" t="s">
        <v>1119</v>
      </c>
      <c r="K9" s="27">
        <v>879</v>
      </c>
      <c r="L9" s="26">
        <v>0</v>
      </c>
      <c r="M9" s="26">
        <v>0</v>
      </c>
      <c r="N9" s="26">
        <v>0</v>
      </c>
      <c r="O9" s="26">
        <v>879</v>
      </c>
      <c r="P9" s="26">
        <v>0</v>
      </c>
      <c r="Q9" s="26">
        <v>0</v>
      </c>
      <c r="R9" s="26">
        <v>0</v>
      </c>
      <c r="S9" s="26">
        <v>0</v>
      </c>
      <c r="T9" s="18" t="s">
        <v>211</v>
      </c>
      <c r="U9" s="21" t="s">
        <v>1116</v>
      </c>
      <c r="V9" s="9" t="str">
        <f>HYPERLINK(_xlfn.CONCAT(Table12[[#This Row],[ParentFolder]],"\",Table12[[#This Row],[FILE_NAME_1]]),Table12[[#This Row],[FILE_NAME_1]])</f>
        <v>Montefiore Fastaff Contract 2025 4.24.25.docx</v>
      </c>
      <c r="W9" s="21" t="s">
        <v>1117</v>
      </c>
      <c r="X9" s="9" t="str">
        <f>HYPERLINK(_xlfn.CONCAT(Table12[[#This Row],[ParentFolder]],"\",Table12[[#This Row],[FILE_NAME_2]]),Table12[[#This Row],[FILE_NAME_2]])</f>
        <v>Rebate thru Oct 2025.xlsx</v>
      </c>
      <c r="Y9" s="21"/>
      <c r="Z9" s="9"/>
      <c r="AA9" s="21"/>
      <c r="AB9" s="9"/>
    </row>
    <row r="10" spans="1:28" x14ac:dyDescent="0.25">
      <c r="A10" s="21">
        <v>88002342</v>
      </c>
      <c r="B10" s="21" t="s">
        <v>280</v>
      </c>
      <c r="C10" s="21" t="s">
        <v>76</v>
      </c>
      <c r="D10" s="21" t="s">
        <v>298</v>
      </c>
      <c r="E10" s="21" t="s">
        <v>282</v>
      </c>
      <c r="F10" s="21" t="s">
        <v>68</v>
      </c>
      <c r="G10" s="21" t="s">
        <v>299</v>
      </c>
      <c r="H10" s="21" t="s">
        <v>1118</v>
      </c>
      <c r="I10" s="21" t="s">
        <v>153</v>
      </c>
      <c r="J10" s="21" t="s">
        <v>1120</v>
      </c>
      <c r="K10" s="27">
        <v>9003</v>
      </c>
      <c r="L10" s="26">
        <v>0</v>
      </c>
      <c r="M10" s="26">
        <v>0</v>
      </c>
      <c r="N10" s="26">
        <v>0</v>
      </c>
      <c r="O10" s="26">
        <v>0</v>
      </c>
      <c r="P10" s="26">
        <v>9003</v>
      </c>
      <c r="Q10" s="26">
        <v>0</v>
      </c>
      <c r="R10" s="26">
        <v>0</v>
      </c>
      <c r="S10" s="26">
        <v>0</v>
      </c>
      <c r="T10" s="18" t="s">
        <v>211</v>
      </c>
      <c r="U10" s="21" t="s">
        <v>1116</v>
      </c>
      <c r="V10" s="9" t="str">
        <f>HYPERLINK(_xlfn.CONCAT(Table12[[#This Row],[ParentFolder]],"\",Table12[[#This Row],[FILE_NAME_1]]),Table12[[#This Row],[FILE_NAME_1]])</f>
        <v>Montefiore Fastaff Contract 2025 4.24.25.docx</v>
      </c>
      <c r="W10" s="21" t="s">
        <v>1117</v>
      </c>
      <c r="X10" s="9" t="str">
        <f>HYPERLINK(_xlfn.CONCAT(Table12[[#This Row],[ParentFolder]],"\",Table12[[#This Row],[FILE_NAME_2]]),Table12[[#This Row],[FILE_NAME_2]])</f>
        <v>Rebate thru Oct 2025.xlsx</v>
      </c>
      <c r="Y10" s="21"/>
      <c r="Z10" s="9"/>
      <c r="AA10" s="21"/>
      <c r="AB10" s="9"/>
    </row>
    <row r="11" spans="1:28" x14ac:dyDescent="0.25">
      <c r="A11" s="21">
        <v>88002343</v>
      </c>
      <c r="B11" s="21" t="s">
        <v>280</v>
      </c>
      <c r="C11" s="21" t="s">
        <v>76</v>
      </c>
      <c r="D11" s="21" t="s">
        <v>1121</v>
      </c>
      <c r="E11" s="21" t="s">
        <v>282</v>
      </c>
      <c r="F11" s="21" t="s">
        <v>68</v>
      </c>
      <c r="G11" s="21" t="s">
        <v>1122</v>
      </c>
      <c r="H11" s="21" t="s">
        <v>1123</v>
      </c>
      <c r="I11" s="21" t="s">
        <v>218</v>
      </c>
      <c r="J11" s="21" t="s">
        <v>1124</v>
      </c>
      <c r="K11" s="27">
        <v>4130</v>
      </c>
      <c r="L11" s="26">
        <v>4130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18" t="s">
        <v>211</v>
      </c>
      <c r="U11" s="21" t="s">
        <v>1125</v>
      </c>
      <c r="V11" s="9" t="str">
        <f>HYPERLINK(_xlfn.CONCAT(Table12[[#This Row],[ParentFolder]],"\",Table12[[#This Row],[FILE_NAME_1]]),Table12[[#This Row],[FILE_NAME_1]])</f>
        <v>Medical Solutions Fully Executed Contract 7.9.25.pdf</v>
      </c>
      <c r="W11" s="21" t="s">
        <v>1126</v>
      </c>
      <c r="X11" s="9" t="str">
        <f>HYPERLINK(_xlfn.CONCAT(Table12[[#This Row],[ParentFolder]],"\",Table12[[#This Row],[FILE_NAME_2]]),Table12[[#This Row],[FILE_NAME_2]])</f>
        <v>thumbnail_image003.png</v>
      </c>
      <c r="Y11" s="21"/>
      <c r="Z11" s="9"/>
      <c r="AA11" s="21"/>
      <c r="AB11" s="9"/>
    </row>
    <row r="12" spans="1:28" x14ac:dyDescent="0.25">
      <c r="A12" s="21">
        <v>88002344</v>
      </c>
      <c r="B12" s="21" t="s">
        <v>1127</v>
      </c>
      <c r="C12" s="21" t="s">
        <v>76</v>
      </c>
      <c r="D12" s="21" t="s">
        <v>1030</v>
      </c>
      <c r="E12" s="21" t="s">
        <v>1031</v>
      </c>
      <c r="F12" s="21" t="s">
        <v>68</v>
      </c>
      <c r="G12" s="21" t="s">
        <v>97</v>
      </c>
      <c r="H12" s="21" t="s">
        <v>1046</v>
      </c>
      <c r="I12" s="21" t="s">
        <v>184</v>
      </c>
      <c r="J12" s="21" t="s">
        <v>1128</v>
      </c>
      <c r="K12" s="27">
        <v>62397</v>
      </c>
      <c r="L12" s="26">
        <v>22402</v>
      </c>
      <c r="M12" s="26">
        <v>0</v>
      </c>
      <c r="N12" s="26">
        <v>0</v>
      </c>
      <c r="O12" s="26">
        <v>6627</v>
      </c>
      <c r="P12" s="26">
        <v>0</v>
      </c>
      <c r="Q12" s="26">
        <v>7121</v>
      </c>
      <c r="R12" s="26">
        <v>0</v>
      </c>
      <c r="S12" s="26">
        <v>26247</v>
      </c>
      <c r="T12" s="18" t="s">
        <v>211</v>
      </c>
      <c r="U12" s="21" t="s">
        <v>1129</v>
      </c>
      <c r="V12" s="9" t="str">
        <f>HYPERLINK(_xlfn.CONCAT(Table12[[#This Row],[ParentFolder]],"\",Table12[[#This Row],[FILE_NAME_1]]),Table12[[#This Row],[FILE_NAME_1]])</f>
        <v>Medtronic ETE Pricing MONTEFIORE- ENDO ENERGY AGREEMENT -- See attachement A enclosed.pdf</v>
      </c>
      <c r="W12" s="21" t="s">
        <v>1130</v>
      </c>
      <c r="X12" s="9" t="str">
        <f>HYPERLINK(_xlfn.CONCAT(Table12[[#This Row],[ParentFolder]],"\",Table12[[#This Row],[FILE_NAME_2]]),Table12[[#This Row],[FILE_NAME_2]])</f>
        <v>Medtronic New Business Rebate Payment Confirmation.pdf</v>
      </c>
      <c r="Y12" s="21" t="s">
        <v>1131</v>
      </c>
      <c r="Z12" s="9" t="str">
        <f>HYPERLINK(_xlfn.CONCAT(Table12[[#This Row],[ParentFolder]],"\",Table12[[#This Row],[FILE_NAME_3]]),Table12[[#This Row],[FILE_NAME_3]])</f>
        <v>Summary of MONTEFIORE HLTH ENDOEBD 07.15.2025 to 07.14.20258211_F.xlsx</v>
      </c>
      <c r="AA12" s="21"/>
      <c r="AB12" s="9"/>
    </row>
    <row r="13" spans="1:28" x14ac:dyDescent="0.25">
      <c r="A13" s="21">
        <v>88002346</v>
      </c>
      <c r="B13" s="21" t="s">
        <v>1132</v>
      </c>
      <c r="C13" s="21" t="s">
        <v>76</v>
      </c>
      <c r="D13" s="21" t="s">
        <v>397</v>
      </c>
      <c r="E13" s="21" t="s">
        <v>58</v>
      </c>
      <c r="F13" s="21" t="s">
        <v>68</v>
      </c>
      <c r="G13" s="21" t="s">
        <v>398</v>
      </c>
      <c r="H13" s="21" t="s">
        <v>1133</v>
      </c>
      <c r="I13" s="21" t="s">
        <v>266</v>
      </c>
      <c r="J13" s="21" t="s">
        <v>1134</v>
      </c>
      <c r="K13" s="27">
        <v>27500</v>
      </c>
      <c r="L13" s="26">
        <v>18275</v>
      </c>
      <c r="M13" s="26">
        <v>0</v>
      </c>
      <c r="N13" s="26">
        <v>0</v>
      </c>
      <c r="O13" s="26">
        <v>0</v>
      </c>
      <c r="P13" s="26">
        <v>0</v>
      </c>
      <c r="Q13" s="26">
        <v>925</v>
      </c>
      <c r="R13" s="26">
        <v>1625</v>
      </c>
      <c r="S13" s="26">
        <v>6675</v>
      </c>
      <c r="T13" s="18" t="s">
        <v>211</v>
      </c>
      <c r="U13" s="21" t="s">
        <v>1135</v>
      </c>
      <c r="V13" s="9" t="str">
        <f>HYPERLINK(_xlfn.CONCAT(Table12[[#This Row],[ParentFolder]],"\",Table12[[#This Row],[FILE_NAME_1]]),Table12[[#This Row],[FILE_NAME_1]])</f>
        <v>Medtronic 2025Q3 DES Rebate Breakdown Analysis.xlsx</v>
      </c>
      <c r="W13" s="21" t="s">
        <v>1136</v>
      </c>
      <c r="X13" s="9" t="str">
        <f>HYPERLINK(_xlfn.CONCAT(Table12[[#This Row],[ParentFolder]],"\",Table12[[#This Row],[FILE_NAME_2]]),Table12[[#This Row],[FILE_NAME_2]])</f>
        <v>Medtronic DES 2025Q3 Credit Memo Rebate.pdf</v>
      </c>
      <c r="Y13" s="21"/>
      <c r="Z13" s="9"/>
      <c r="AA13" s="21"/>
      <c r="AB13" s="9"/>
    </row>
    <row r="14" spans="1:28" x14ac:dyDescent="0.25">
      <c r="A14" s="21">
        <v>88002347</v>
      </c>
      <c r="B14" s="21" t="s">
        <v>1137</v>
      </c>
      <c r="C14" s="21" t="s">
        <v>64</v>
      </c>
      <c r="D14" s="21" t="s">
        <v>135</v>
      </c>
      <c r="E14" s="21" t="s">
        <v>242</v>
      </c>
      <c r="F14" s="21" t="s">
        <v>102</v>
      </c>
      <c r="G14" s="21" t="s">
        <v>77</v>
      </c>
      <c r="H14" s="21" t="s">
        <v>1138</v>
      </c>
      <c r="I14" s="21" t="s">
        <v>184</v>
      </c>
      <c r="J14" s="21" t="s">
        <v>1139</v>
      </c>
      <c r="K14" s="27">
        <v>1897787</v>
      </c>
      <c r="L14" s="26">
        <v>1767640</v>
      </c>
      <c r="M14" s="26">
        <v>0</v>
      </c>
      <c r="N14" s="26">
        <v>117767</v>
      </c>
      <c r="O14" s="26">
        <v>313</v>
      </c>
      <c r="P14" s="26">
        <v>92</v>
      </c>
      <c r="Q14" s="26">
        <v>11975</v>
      </c>
      <c r="R14" s="26">
        <v>0</v>
      </c>
      <c r="S14" s="26">
        <v>0</v>
      </c>
      <c r="T14" s="18" t="s">
        <v>211</v>
      </c>
      <c r="U14" s="21" t="s">
        <v>1140</v>
      </c>
      <c r="V14" s="9" t="str">
        <f>HYPERLINK(_xlfn.CONCAT(Table12[[#This Row],[ParentFolder]],"\",Table12[[#This Row],[FILE_NAME_1]]),Table12[[#This Row],[FILE_NAME_1]])</f>
        <v>MONTEFIORE MEDICINE ACADEMIC HEALTH SYSTEM INC. 759714  Jul.Sep25.xlsx</v>
      </c>
      <c r="W14" s="21"/>
      <c r="X14" s="9"/>
      <c r="Y14" s="21"/>
      <c r="Z14" s="9"/>
      <c r="AA14" s="21"/>
      <c r="AB14" s="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D56E-BD50-47E9-82BF-F195052E3D82}">
  <dimension ref="A1:AB21"/>
  <sheetViews>
    <sheetView workbookViewId="0">
      <selection activeCell="V2" sqref="V2"/>
    </sheetView>
  </sheetViews>
  <sheetFormatPr defaultRowHeight="15" x14ac:dyDescent="0.25"/>
  <cols>
    <col min="1" max="1" width="12.5703125" customWidth="1"/>
    <col min="2" max="2" width="15.7109375" customWidth="1"/>
    <col min="3" max="3" width="14.85546875" customWidth="1"/>
    <col min="4" max="4" width="18.28515625" customWidth="1"/>
    <col min="5" max="5" width="18.85546875" customWidth="1"/>
    <col min="6" max="6" width="8.7109375" customWidth="1"/>
    <col min="7" max="7" width="15.140625" customWidth="1"/>
    <col min="8" max="8" width="11.85546875" customWidth="1"/>
    <col min="9" max="9" width="13.28515625" customWidth="1"/>
    <col min="10" max="10" width="16.28515625" customWidth="1"/>
    <col min="11" max="11" width="16.42578125" customWidth="1"/>
    <col min="12" max="12" width="14.7109375" bestFit="1" customWidth="1"/>
    <col min="13" max="13" width="15.140625" customWidth="1"/>
    <col min="14" max="14" width="15.7109375" customWidth="1"/>
    <col min="15" max="15" width="15" customWidth="1"/>
    <col min="16" max="16" width="14.5703125" customWidth="1"/>
    <col min="17" max="17" width="15.42578125" customWidth="1"/>
    <col min="18" max="18" width="14.140625" customWidth="1"/>
    <col min="19" max="19" width="13.7109375" customWidth="1"/>
    <col min="20" max="20" width="20.28515625" customWidth="1"/>
    <col min="21" max="21" width="67.42578125" customWidth="1"/>
    <col min="22" max="22" width="67.42578125" bestFit="1" customWidth="1"/>
    <col min="23" max="23" width="64.7109375" hidden="1" customWidth="1"/>
    <col min="24" max="24" width="44.85546875" bestFit="1" customWidth="1"/>
    <col min="25" max="25" width="49.42578125" hidden="1" customWidth="1"/>
    <col min="26" max="26" width="51.140625" bestFit="1" customWidth="1"/>
    <col min="27" max="27" width="38.5703125" hidden="1" customWidth="1"/>
    <col min="28" max="28" width="42.140625" bestFit="1" customWidth="1"/>
    <col min="30" max="30" width="51.140625" bestFit="1" customWidth="1"/>
    <col min="32" max="32" width="42.140625" bestFit="1" customWidth="1"/>
    <col min="34" max="36" width="14.42578125" bestFit="1" customWidth="1"/>
  </cols>
  <sheetData>
    <row r="1" spans="1:28" x14ac:dyDescent="0.25">
      <c r="A1" s="24" t="s">
        <v>0</v>
      </c>
      <c r="B1" s="24" t="s">
        <v>115</v>
      </c>
      <c r="C1" s="24" t="s">
        <v>116</v>
      </c>
      <c r="D1" s="24" t="s">
        <v>117</v>
      </c>
      <c r="E1" s="24" t="s">
        <v>118</v>
      </c>
      <c r="F1" s="24" t="s">
        <v>119</v>
      </c>
      <c r="G1" s="24" t="s">
        <v>120</v>
      </c>
      <c r="H1" s="24" t="s">
        <v>121</v>
      </c>
      <c r="I1" s="24" t="s">
        <v>122</v>
      </c>
      <c r="J1" s="24" t="s">
        <v>123</v>
      </c>
      <c r="K1" s="24" t="s">
        <v>124</v>
      </c>
      <c r="L1" s="24" t="s">
        <v>125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1" t="s">
        <v>336</v>
      </c>
      <c r="U1" s="24" t="s">
        <v>201</v>
      </c>
      <c r="V1" s="24" t="s">
        <v>204</v>
      </c>
      <c r="W1" s="24" t="s">
        <v>202</v>
      </c>
      <c r="X1" s="24" t="s">
        <v>205</v>
      </c>
      <c r="Y1" s="24" t="s">
        <v>203</v>
      </c>
      <c r="Z1" s="24" t="s">
        <v>206</v>
      </c>
      <c r="AA1" s="24" t="s">
        <v>374</v>
      </c>
      <c r="AB1" s="24" t="s">
        <v>373</v>
      </c>
    </row>
    <row r="2" spans="1:28" x14ac:dyDescent="0.25">
      <c r="A2" s="24">
        <v>88002284</v>
      </c>
      <c r="B2" s="24" t="s">
        <v>982</v>
      </c>
      <c r="C2" s="24" t="s">
        <v>76</v>
      </c>
      <c r="D2" s="24" t="s">
        <v>99</v>
      </c>
      <c r="E2" s="24" t="s">
        <v>236</v>
      </c>
      <c r="F2" s="24" t="s">
        <v>102</v>
      </c>
      <c r="G2" s="24" t="s">
        <v>101</v>
      </c>
      <c r="H2" s="24" t="s">
        <v>983</v>
      </c>
      <c r="I2" s="24" t="s">
        <v>153</v>
      </c>
      <c r="J2" s="24" t="s">
        <v>984</v>
      </c>
      <c r="K2" s="25">
        <v>69452.850000000006</v>
      </c>
      <c r="L2" s="26">
        <v>69452.850000000006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18" t="s">
        <v>211</v>
      </c>
      <c r="U2" s="24" t="s">
        <v>985</v>
      </c>
      <c r="V2" s="9" t="str">
        <f>HYPERLINK(_xlfn.CONCAT(Table11[[#This Row],[ParentFolder]],"\",Table11[[#This Row],[FILE_NAME_1]]),Table11[[#This Row],[FILE_NAME_1]])</f>
        <v>scan_cfigueroar_2025-10-03-11-03-44_20251003125824.pdf</v>
      </c>
      <c r="W2" s="24" t="s">
        <v>986</v>
      </c>
      <c r="X2" s="9" t="str">
        <f>HYPERLINK(_xlfn.CONCAT(Table11[[#This Row],[ParentFolder]],"\",Table11[[#This Row],[FILE_NAME_2]]),Table11[[#This Row],[FILE_NAME_2]])</f>
        <v>US FOODS - Data anaylsis for Jan - Jun rebate.pdf</v>
      </c>
      <c r="Y2" s="24" t="s">
        <v>987</v>
      </c>
      <c r="Z2" s="9" t="str">
        <f>HYPERLINK(_xlfn.CONCAT(Table11[[#This Row],[ParentFolder]],"\",Table11[[#This Row],[FILE_NAME_3]]),Table11[[#This Row],[FILE_NAME_3]])</f>
        <v>US Foods rebate 09.01.2025.pdf</v>
      </c>
      <c r="AA2" s="24"/>
      <c r="AB2" s="9"/>
    </row>
    <row r="3" spans="1:28" x14ac:dyDescent="0.25">
      <c r="A3" s="24">
        <v>88002296</v>
      </c>
      <c r="B3" s="24" t="s">
        <v>988</v>
      </c>
      <c r="C3" s="24" t="s">
        <v>64</v>
      </c>
      <c r="D3" s="24" t="s">
        <v>135</v>
      </c>
      <c r="E3" s="24" t="s">
        <v>242</v>
      </c>
      <c r="F3" s="24" t="s">
        <v>102</v>
      </c>
      <c r="G3" s="24" t="s">
        <v>77</v>
      </c>
      <c r="H3" s="24" t="s">
        <v>989</v>
      </c>
      <c r="I3" s="24" t="s">
        <v>218</v>
      </c>
      <c r="J3" s="24" t="s">
        <v>990</v>
      </c>
      <c r="K3" s="25">
        <v>2051098</v>
      </c>
      <c r="L3" s="26">
        <v>1953418</v>
      </c>
      <c r="M3" s="26">
        <v>0</v>
      </c>
      <c r="N3" s="26">
        <v>86174</v>
      </c>
      <c r="O3" s="26">
        <v>297</v>
      </c>
      <c r="P3" s="26">
        <v>364</v>
      </c>
      <c r="Q3" s="26">
        <v>10845</v>
      </c>
      <c r="R3" s="26">
        <v>0</v>
      </c>
      <c r="S3" s="26">
        <v>0</v>
      </c>
      <c r="T3" s="18" t="s">
        <v>211</v>
      </c>
      <c r="U3" s="24" t="s">
        <v>991</v>
      </c>
      <c r="V3" s="9" t="str">
        <f>HYPERLINK(_xlfn.CONCAT(Table11[[#This Row],[ParentFolder]],"\",Table11[[#This Row],[FILE_NAME_1]]),Table11[[#This Row],[FILE_NAME_1]])</f>
        <v>MONTEFIORE MEDICINE ACADEMIC HEALTH SYSTEM INC. 759714 - 2Q25.xlsx</v>
      </c>
      <c r="W3" s="24" t="s">
        <v>992</v>
      </c>
      <c r="X3" s="9" t="str">
        <f>HYPERLINK(_xlfn.CONCAT(Table11[[#This Row],[ParentFolder]],"\",Table11[[#This Row],[FILE_NAME_2]]),Table11[[#This Row],[FILE_NAME_2]])</f>
        <v>Premier Cash Disbursement_20251002133609</v>
      </c>
      <c r="Y3" s="24"/>
      <c r="Z3" s="9"/>
      <c r="AA3" s="24"/>
      <c r="AB3" s="9"/>
    </row>
    <row r="4" spans="1:28" x14ac:dyDescent="0.25">
      <c r="A4" s="24">
        <v>88002297</v>
      </c>
      <c r="B4" s="24" t="s">
        <v>993</v>
      </c>
      <c r="C4" s="24" t="s">
        <v>76</v>
      </c>
      <c r="D4" s="24" t="s">
        <v>59</v>
      </c>
      <c r="E4" s="24" t="s">
        <v>58</v>
      </c>
      <c r="F4" s="24" t="s">
        <v>68</v>
      </c>
      <c r="G4" s="24" t="s">
        <v>67</v>
      </c>
      <c r="H4" s="24" t="s">
        <v>359</v>
      </c>
      <c r="I4" s="24" t="s">
        <v>266</v>
      </c>
      <c r="J4" s="24" t="s">
        <v>994</v>
      </c>
      <c r="K4" s="25">
        <v>29700</v>
      </c>
      <c r="L4" s="26">
        <v>29700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18" t="s">
        <v>211</v>
      </c>
      <c r="U4" s="24" t="s">
        <v>995</v>
      </c>
      <c r="V4" s="9" t="str">
        <f>HYPERLINK(_xlfn.CONCAT(Table11[[#This Row],[ParentFolder]],"\",Table11[[#This Row],[FILE_NAME_1]]),Table11[[#This Row],[FILE_NAME_1]])</f>
        <v>Edwards Pascal Credit Memo 2024Q4.pdf</v>
      </c>
      <c r="W4" s="24" t="s">
        <v>996</v>
      </c>
      <c r="X4" s="9" t="str">
        <f>HYPERLINK(_xlfn.CONCAT(Table11[[#This Row],[ParentFolder]],"\",Table11[[#This Row],[FILE_NAME_2]]),Table11[[#This Row],[FILE_NAME_2]])</f>
        <v>Edwards Pascal Rebate Breakdown 2024Q4.xlsx</v>
      </c>
      <c r="Y4" s="24" t="s">
        <v>997</v>
      </c>
      <c r="Z4" s="9" t="str">
        <f>HYPERLINK(_xlfn.CONCAT(Table11[[#This Row],[ParentFolder]],"\",Table11[[#This Row],[FILE_NAME_3]]),Table11[[#This Row],[FILE_NAME_3]])</f>
        <v>Edwards Pascal Rebate Letter 2024Q4.pdf</v>
      </c>
      <c r="AA4" s="24"/>
      <c r="AB4" s="9"/>
    </row>
    <row r="5" spans="1:28" x14ac:dyDescent="0.25">
      <c r="A5" s="24">
        <v>88002298</v>
      </c>
      <c r="B5" s="24" t="s">
        <v>998</v>
      </c>
      <c r="C5" s="24" t="s">
        <v>76</v>
      </c>
      <c r="D5" s="24" t="s">
        <v>59</v>
      </c>
      <c r="E5" s="24" t="s">
        <v>58</v>
      </c>
      <c r="F5" s="24" t="s">
        <v>68</v>
      </c>
      <c r="G5" s="24" t="s">
        <v>67</v>
      </c>
      <c r="H5" s="24" t="s">
        <v>999</v>
      </c>
      <c r="I5" s="24" t="s">
        <v>218</v>
      </c>
      <c r="J5" s="24" t="s">
        <v>1000</v>
      </c>
      <c r="K5" s="25">
        <v>9500</v>
      </c>
      <c r="L5" s="26">
        <v>9500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18" t="s">
        <v>211</v>
      </c>
      <c r="U5" s="24" t="s">
        <v>1001</v>
      </c>
      <c r="V5" s="9" t="str">
        <f>HYPERLINK(_xlfn.CONCAT(Table11[[#This Row],[ParentFolder]],"\",Table11[[#This Row],[FILE_NAME_1]]),Table11[[#This Row],[FILE_NAME_1]])</f>
        <v>Edwards Pascal 2025Q1 Rebate Breakdown.xlsx</v>
      </c>
      <c r="W5" s="24" t="s">
        <v>1002</v>
      </c>
      <c r="X5" s="9" t="str">
        <f>HYPERLINK(_xlfn.CONCAT(Table11[[#This Row],[ParentFolder]],"\",Table11[[#This Row],[FILE_NAME_2]]),Table11[[#This Row],[FILE_NAME_2]])</f>
        <v>Edwards Pascal 2025Q1 Rebate Letter ACH.pdf</v>
      </c>
      <c r="Y5" s="24" t="s">
        <v>1003</v>
      </c>
      <c r="Z5" s="9" t="str">
        <f>HYPERLINK(_xlfn.CONCAT(Table11[[#This Row],[ParentFolder]],"\",Table11[[#This Row],[FILE_NAME_3]]),Table11[[#This Row],[FILE_NAME_3]])</f>
        <v>Edwards Pascal ACH Confirmation.png</v>
      </c>
      <c r="AA5" s="24" t="s">
        <v>1004</v>
      </c>
      <c r="AB5" s="9" t="str">
        <f>HYPERLINK(_xlfn.CONCAT(Table11[[#This Row],[ParentFolder]],"\",Table11[[#This Row],[FILE_NAME_4]]),Table11[[#This Row],[FILE_NAME_4]])</f>
        <v>Edwards Pascal Rebate Terms.pdf</v>
      </c>
    </row>
    <row r="6" spans="1:28" x14ac:dyDescent="0.25">
      <c r="A6" s="24">
        <v>88002299</v>
      </c>
      <c r="B6" s="24" t="s">
        <v>1005</v>
      </c>
      <c r="C6" s="24" t="s">
        <v>76</v>
      </c>
      <c r="D6" s="24" t="s">
        <v>59</v>
      </c>
      <c r="E6" s="24" t="s">
        <v>58</v>
      </c>
      <c r="F6" s="24" t="s">
        <v>68</v>
      </c>
      <c r="G6" s="24" t="s">
        <v>67</v>
      </c>
      <c r="H6" s="24" t="s">
        <v>940</v>
      </c>
      <c r="I6" s="24" t="s">
        <v>218</v>
      </c>
      <c r="J6" s="24" t="s">
        <v>1006</v>
      </c>
      <c r="K6" s="25">
        <v>32400</v>
      </c>
      <c r="L6" s="26">
        <v>32400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18" t="s">
        <v>211</v>
      </c>
      <c r="U6" s="24" t="s">
        <v>1007</v>
      </c>
      <c r="V6" s="9" t="str">
        <f>HYPERLINK(_xlfn.CONCAT(Table11[[#This Row],[ParentFolder]],"\",Table11[[#This Row],[FILE_NAME_1]]),Table11[[#This Row],[FILE_NAME_1]])</f>
        <v>Edwards Pascal 2025Q2 Rebate Letter.pdf</v>
      </c>
      <c r="W6" s="24" t="s">
        <v>1003</v>
      </c>
      <c r="X6" s="9" t="str">
        <f>HYPERLINK(_xlfn.CONCAT(Table11[[#This Row],[ParentFolder]],"\",Table11[[#This Row],[FILE_NAME_2]]),Table11[[#This Row],[FILE_NAME_2]])</f>
        <v>Edwards Pascal ACH Confirmation.png</v>
      </c>
      <c r="Y6" s="24" t="s">
        <v>1008</v>
      </c>
      <c r="Z6" s="9" t="str">
        <f>HYPERLINK(_xlfn.CONCAT(Table11[[#This Row],[ParentFolder]],"\",Table11[[#This Row],[FILE_NAME_3]]),Table11[[#This Row],[FILE_NAME_3]])</f>
        <v>Edwards Pascal Rebate Breakdown 2025Q2.xlsx</v>
      </c>
      <c r="AA6" s="24" t="s">
        <v>1004</v>
      </c>
      <c r="AB6" s="9" t="str">
        <f>HYPERLINK(_xlfn.CONCAT(Table11[[#This Row],[ParentFolder]],"\",Table11[[#This Row],[FILE_NAME_4]]),Table11[[#This Row],[FILE_NAME_4]])</f>
        <v>Edwards Pascal Rebate Terms.pdf</v>
      </c>
    </row>
    <row r="7" spans="1:28" x14ac:dyDescent="0.25">
      <c r="A7" s="24">
        <v>88002300</v>
      </c>
      <c r="B7" s="24" t="s">
        <v>1009</v>
      </c>
      <c r="C7" s="24" t="s">
        <v>76</v>
      </c>
      <c r="D7" s="24" t="s">
        <v>95</v>
      </c>
      <c r="E7" s="24" t="s">
        <v>58</v>
      </c>
      <c r="F7" s="24" t="s">
        <v>68</v>
      </c>
      <c r="G7" s="24" t="s">
        <v>97</v>
      </c>
      <c r="H7" s="24" t="s">
        <v>976</v>
      </c>
      <c r="I7" s="24" t="s">
        <v>266</v>
      </c>
      <c r="J7" s="24" t="s">
        <v>1010</v>
      </c>
      <c r="K7" s="25">
        <v>2500</v>
      </c>
      <c r="L7" s="26">
        <v>2500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18" t="s">
        <v>211</v>
      </c>
      <c r="U7" s="24" t="s">
        <v>1011</v>
      </c>
      <c r="V7" s="9" t="str">
        <f>HYPERLINK(_xlfn.CONCAT(Table11[[#This Row],[ParentFolder]],"\",Table11[[#This Row],[FILE_NAME_1]]),Table11[[#This Row],[FILE_NAME_1]])</f>
        <v>Medtronic Structural Heart Bulk Rebate 8.22.25.xlsx</v>
      </c>
      <c r="W7" s="24" t="s">
        <v>1012</v>
      </c>
      <c r="X7" s="9" t="str">
        <f>HYPERLINK(_xlfn.CONCAT(Table11[[#This Row],[ParentFolder]],"\",Table11[[#This Row],[FILE_NAME_2]]),Table11[[#This Row],[FILE_NAME_2]])</f>
        <v>Medtronic Structural Heart Bulk Rebate Notification 8.22.25.pdf</v>
      </c>
      <c r="Y7" s="24" t="s">
        <v>1013</v>
      </c>
      <c r="Z7" s="9" t="str">
        <f>HYPERLINK(_xlfn.CONCAT(Table11[[#This Row],[ParentFolder]],"\",Table11[[#This Row],[FILE_NAME_3]]),Table11[[#This Row],[FILE_NAME_3]])</f>
        <v>Medtronic Structural Heart Credit Memo Bulk 8.22.25.pdf</v>
      </c>
      <c r="AA7" s="24"/>
      <c r="AB7" s="9"/>
    </row>
    <row r="8" spans="1:28" x14ac:dyDescent="0.25">
      <c r="A8" s="24">
        <v>88002301</v>
      </c>
      <c r="B8" s="24" t="s">
        <v>1014</v>
      </c>
      <c r="C8" s="24" t="s">
        <v>76</v>
      </c>
      <c r="D8" s="24" t="s">
        <v>1015</v>
      </c>
      <c r="E8" s="24" t="s">
        <v>58</v>
      </c>
      <c r="F8" s="24" t="s">
        <v>68</v>
      </c>
      <c r="G8" s="24" t="s">
        <v>1016</v>
      </c>
      <c r="H8" s="24" t="s">
        <v>1017</v>
      </c>
      <c r="I8" s="24" t="s">
        <v>266</v>
      </c>
      <c r="J8" s="24" t="s">
        <v>1018</v>
      </c>
      <c r="K8" s="25">
        <v>4500</v>
      </c>
      <c r="L8" s="26">
        <v>4500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18" t="s">
        <v>211</v>
      </c>
      <c r="U8" s="24" t="s">
        <v>1019</v>
      </c>
      <c r="V8" s="9" t="str">
        <f>HYPERLINK(_xlfn.CONCAT(Table11[[#This Row],[ParentFolder]],"\",Table11[[#This Row],[FILE_NAME_1]]),Table11[[#This Row],[FILE_NAME_1]])</f>
        <v>Medtronic PFA Credit Notification 2025Q2.pdf</v>
      </c>
      <c r="W8" s="24" t="s">
        <v>1020</v>
      </c>
      <c r="X8" s="9" t="str">
        <f>HYPERLINK(_xlfn.CONCAT(Table11[[#This Row],[ParentFolder]],"\",Table11[[#This Row],[FILE_NAME_2]]),Table11[[#This Row],[FILE_NAME_2]])</f>
        <v>Medtronic PFA Rebate Breakdown 2025Q2.xlsx</v>
      </c>
      <c r="Y8" s="24" t="s">
        <v>1021</v>
      </c>
      <c r="Z8" s="9" t="str">
        <f>HYPERLINK(_xlfn.CONCAT(Table11[[#This Row],[ParentFolder]],"\",Table11[[#This Row],[FILE_NAME_3]]),Table11[[#This Row],[FILE_NAME_3]])</f>
        <v>Medtronic PFA Rebate Credit Memo 2025Q2.pdf</v>
      </c>
      <c r="AA8" s="24"/>
      <c r="AB8" s="9"/>
    </row>
    <row r="9" spans="1:28" x14ac:dyDescent="0.25">
      <c r="A9" s="24">
        <v>88002302</v>
      </c>
      <c r="B9" s="24" t="s">
        <v>1022</v>
      </c>
      <c r="C9" s="24" t="s">
        <v>76</v>
      </c>
      <c r="D9" s="24" t="s">
        <v>95</v>
      </c>
      <c r="E9" s="24" t="s">
        <v>58</v>
      </c>
      <c r="F9" s="24" t="s">
        <v>68</v>
      </c>
      <c r="G9" s="24" t="s">
        <v>97</v>
      </c>
      <c r="H9" s="24" t="s">
        <v>1023</v>
      </c>
      <c r="I9" s="24" t="s">
        <v>266</v>
      </c>
      <c r="J9" s="24" t="s">
        <v>1024</v>
      </c>
      <c r="K9" s="25">
        <v>205000</v>
      </c>
      <c r="L9" s="26">
        <v>135000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70000</v>
      </c>
      <c r="T9" s="18" t="s">
        <v>211</v>
      </c>
      <c r="U9" s="24" t="s">
        <v>1025</v>
      </c>
      <c r="V9" s="9" t="str">
        <f>HYPERLINK(_xlfn.CONCAT(Table11[[#This Row],[ParentFolder]],"\",Table11[[#This Row],[FILE_NAME_1]]),Table11[[#This Row],[FILE_NAME_1]])</f>
        <v>Medtronic TAVR 2025Q2 Rebate Breakdown.xlsx</v>
      </c>
      <c r="W9" s="24" t="s">
        <v>1026</v>
      </c>
      <c r="X9" s="9" t="str">
        <f>HYPERLINK(_xlfn.CONCAT(Table11[[#This Row],[ParentFolder]],"\",Table11[[#This Row],[FILE_NAME_2]]),Table11[[#This Row],[FILE_NAME_2]])</f>
        <v>Medtronic TAVR MMC 2025Q2 Rebate Credit Memo.pdf</v>
      </c>
      <c r="Y9" s="24" t="s">
        <v>1027</v>
      </c>
      <c r="Z9" s="9" t="str">
        <f>HYPERLINK(_xlfn.CONCAT(Table11[[#This Row],[ParentFolder]],"\",Table11[[#This Row],[FILE_NAME_3]]),Table11[[#This Row],[FILE_NAME_3]])</f>
        <v>Medtronic TAVR Rebate Terms.pdf</v>
      </c>
      <c r="AA9" s="24" t="s">
        <v>1028</v>
      </c>
      <c r="AB9" s="9" t="str">
        <f>HYPERLINK(_xlfn.CONCAT(Table11[[#This Row],[ParentFolder]],"\",Table11[[#This Row],[FILE_NAME_4]]),Table11[[#This Row],[FILE_NAME_4]])</f>
        <v>Medtronic TAVR WPH 2025Q2 Credit Memo.pdf</v>
      </c>
    </row>
    <row r="10" spans="1:28" x14ac:dyDescent="0.25">
      <c r="A10" s="24">
        <v>88002305</v>
      </c>
      <c r="B10" s="24" t="s">
        <v>1029</v>
      </c>
      <c r="C10" s="24" t="s">
        <v>76</v>
      </c>
      <c r="D10" s="24" t="s">
        <v>1030</v>
      </c>
      <c r="E10" s="24" t="s">
        <v>1031</v>
      </c>
      <c r="F10" s="24" t="s">
        <v>68</v>
      </c>
      <c r="G10" s="24" t="s">
        <v>97</v>
      </c>
      <c r="H10" s="24" t="s">
        <v>1032</v>
      </c>
      <c r="I10" s="24" t="s">
        <v>184</v>
      </c>
      <c r="J10" s="24" t="s">
        <v>1033</v>
      </c>
      <c r="K10" s="25">
        <v>570064</v>
      </c>
      <c r="L10" s="26">
        <v>367366</v>
      </c>
      <c r="M10" s="26">
        <v>0</v>
      </c>
      <c r="N10" s="26">
        <v>0</v>
      </c>
      <c r="O10" s="26">
        <v>5509</v>
      </c>
      <c r="P10" s="26">
        <v>16868</v>
      </c>
      <c r="Q10" s="26">
        <v>27937</v>
      </c>
      <c r="R10" s="26">
        <v>27363</v>
      </c>
      <c r="S10" s="26">
        <v>125021</v>
      </c>
      <c r="T10" s="18" t="s">
        <v>211</v>
      </c>
      <c r="U10" s="24" t="s">
        <v>1034</v>
      </c>
      <c r="V10" s="9" t="str">
        <f>HYPERLINK(_xlfn.CONCAT(Table11[[#This Row],[ParentFolder]],"\",Table11[[#This Row],[FILE_NAME_1]]),Table11[[#This Row],[FILE_NAME_1]])</f>
        <v>Backup Summary CC7507-6 3.15.24-3.14.25.xlsx</v>
      </c>
      <c r="W10" s="24" t="s">
        <v>1035</v>
      </c>
      <c r="X10" s="9" t="str">
        <f>HYPERLINK(_xlfn.CONCAT(Table11[[#This Row],[ParentFolder]],"\",Table11[[#This Row],[FILE_NAME_2]]),Table11[[#This Row],[FILE_NAME_2]])</f>
        <v>Medtronic Wrap Rebate Backup Summary CC7507-6 3.15.24-3.14.25.xlsx</v>
      </c>
      <c r="Y10" s="24"/>
      <c r="Z10" s="9"/>
      <c r="AA10" s="24"/>
      <c r="AB10" s="9"/>
    </row>
    <row r="11" spans="1:28" x14ac:dyDescent="0.25">
      <c r="A11" s="24">
        <v>88002306</v>
      </c>
      <c r="B11" s="24" t="s">
        <v>1036</v>
      </c>
      <c r="C11" s="24" t="s">
        <v>64</v>
      </c>
      <c r="D11" s="24" t="s">
        <v>1037</v>
      </c>
      <c r="E11" s="24" t="s">
        <v>88</v>
      </c>
      <c r="F11" s="24" t="s">
        <v>68</v>
      </c>
      <c r="G11" s="24" t="s">
        <v>1038</v>
      </c>
      <c r="H11" s="24" t="s">
        <v>989</v>
      </c>
      <c r="I11" s="24" t="s">
        <v>218</v>
      </c>
      <c r="J11" s="24" t="s">
        <v>1036</v>
      </c>
      <c r="K11" s="25">
        <v>104496</v>
      </c>
      <c r="L11" s="26">
        <v>102159</v>
      </c>
      <c r="M11" s="26">
        <v>0</v>
      </c>
      <c r="N11" s="26">
        <v>0</v>
      </c>
      <c r="O11" s="26">
        <v>1189</v>
      </c>
      <c r="P11" s="26">
        <v>563</v>
      </c>
      <c r="Q11" s="26">
        <v>368</v>
      </c>
      <c r="R11" s="26">
        <v>0</v>
      </c>
      <c r="S11" s="26">
        <v>217</v>
      </c>
      <c r="T11" s="18" t="s">
        <v>211</v>
      </c>
      <c r="U11" s="24" t="s">
        <v>1039</v>
      </c>
      <c r="V11" s="9" t="str">
        <f>HYPERLINK(_xlfn.CONCAT(Table11[[#This Row],[ParentFolder]],"\",Table11[[#This Row],[FILE_NAME_1]]),Table11[[#This Row],[FILE_NAME_1]])</f>
        <v>Molnlycke  Loyalty Rebate Sept2023-Aug2024.xlsx</v>
      </c>
      <c r="W11" s="24"/>
      <c r="X11" s="9"/>
      <c r="Y11" s="24"/>
      <c r="Z11" s="9"/>
      <c r="AA11" s="24"/>
      <c r="AB11" s="9"/>
    </row>
    <row r="12" spans="1:28" x14ac:dyDescent="0.25">
      <c r="A12" s="24">
        <v>88002311</v>
      </c>
      <c r="B12" s="24" t="s">
        <v>1040</v>
      </c>
      <c r="C12" s="24" t="s">
        <v>76</v>
      </c>
      <c r="D12" s="24" t="s">
        <v>171</v>
      </c>
      <c r="E12" s="24" t="s">
        <v>58</v>
      </c>
      <c r="F12" s="24" t="s">
        <v>68</v>
      </c>
      <c r="G12" s="24" t="s">
        <v>172</v>
      </c>
      <c r="H12" s="24" t="s">
        <v>1041</v>
      </c>
      <c r="I12" s="24" t="s">
        <v>218</v>
      </c>
      <c r="J12" s="24" t="s">
        <v>1042</v>
      </c>
      <c r="K12" s="25">
        <v>628000</v>
      </c>
      <c r="L12" s="26">
        <v>344000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284000</v>
      </c>
      <c r="T12" s="18" t="s">
        <v>211</v>
      </c>
      <c r="U12" s="24" t="s">
        <v>1043</v>
      </c>
      <c r="V12" s="9" t="str">
        <f>HYPERLINK(_xlfn.CONCAT(Table11[[#This Row],[ParentFolder]],"\",Table11[[#This Row],[FILE_NAME_1]]),Table11[[#This Row],[FILE_NAME_1]])</f>
        <v>BSCI Watchman Rebate 2025Q3 Letter and Breakdown.pdf</v>
      </c>
      <c r="W12" s="24" t="s">
        <v>782</v>
      </c>
      <c r="X12" s="9" t="str">
        <f>HYPERLINK(_xlfn.CONCAT(Table11[[#This Row],[ParentFolder]],"\",Table11[[#This Row],[FILE_NAME_2]]),Table11[[#This Row],[FILE_NAME_2]])</f>
        <v>BSCI Watchman Rebate Contract Info 1.14.25.pdf</v>
      </c>
      <c r="Y12" s="24" t="s">
        <v>1044</v>
      </c>
      <c r="Z12" s="9" t="str">
        <f>HYPERLINK(_xlfn.CONCAT(Table11[[#This Row],[ParentFolder]],"\",Table11[[#This Row],[FILE_NAME_3]]),Table11[[#This Row],[FILE_NAME_3]])</f>
        <v>Watchman Rebate ACH Doc Number 2025Q3.png</v>
      </c>
      <c r="AA12" s="24"/>
      <c r="AB12" s="9"/>
    </row>
    <row r="13" spans="1:28" x14ac:dyDescent="0.25">
      <c r="A13" s="24">
        <v>88002312</v>
      </c>
      <c r="B13" s="24" t="s">
        <v>1045</v>
      </c>
      <c r="C13" s="24" t="s">
        <v>76</v>
      </c>
      <c r="D13" s="24" t="s">
        <v>397</v>
      </c>
      <c r="E13" s="24" t="s">
        <v>58</v>
      </c>
      <c r="F13" s="24" t="s">
        <v>68</v>
      </c>
      <c r="G13" s="24" t="s">
        <v>398</v>
      </c>
      <c r="H13" s="24" t="s">
        <v>1046</v>
      </c>
      <c r="I13" s="24" t="s">
        <v>266</v>
      </c>
      <c r="J13" s="24" t="s">
        <v>1047</v>
      </c>
      <c r="K13" s="25">
        <v>23475</v>
      </c>
      <c r="L13" s="26">
        <v>13300</v>
      </c>
      <c r="M13" s="26">
        <v>0</v>
      </c>
      <c r="N13" s="26">
        <v>0</v>
      </c>
      <c r="O13" s="26">
        <v>0</v>
      </c>
      <c r="P13" s="26">
        <v>0</v>
      </c>
      <c r="Q13" s="26">
        <v>1475</v>
      </c>
      <c r="R13" s="26">
        <v>2950</v>
      </c>
      <c r="S13" s="26">
        <v>5750</v>
      </c>
      <c r="T13" s="18" t="s">
        <v>211</v>
      </c>
      <c r="U13" s="24" t="s">
        <v>1048</v>
      </c>
      <c r="V13" s="9" t="str">
        <f>HYPERLINK(_xlfn.CONCAT(Table11[[#This Row],[ParentFolder]],"\",Table11[[#This Row],[FILE_NAME_1]]),Table11[[#This Row],[FILE_NAME_1]])</f>
        <v>Medtronic DES 2025Q2 Rebate Breakdown 11.4.25.xlsx</v>
      </c>
      <c r="W13" s="24" t="s">
        <v>1049</v>
      </c>
      <c r="X13" s="9" t="str">
        <f>HYPERLINK(_xlfn.CONCAT(Table11[[#This Row],[ParentFolder]],"\",Table11[[#This Row],[FILE_NAME_2]]),Table11[[#This Row],[FILE_NAME_2]])</f>
        <v>Medtronic DES 2025Q2 St. Lukes Credit Memo.pdf</v>
      </c>
      <c r="Y13" s="24" t="s">
        <v>1050</v>
      </c>
      <c r="Z13" s="9" t="str">
        <f>HYPERLINK(_xlfn.CONCAT(Table11[[#This Row],[ParentFolder]],"\",Table11[[#This Row],[FILE_NAME_3]]),Table11[[#This Row],[FILE_NAME_3]])</f>
        <v>Medtronic DES 2025Q2 WPH Credit Memo.pdf</v>
      </c>
      <c r="AA13" s="24" t="s">
        <v>1051</v>
      </c>
      <c r="AB13" s="9" t="str">
        <f>HYPERLINK(_xlfn.CONCAT(Table11[[#This Row],[ParentFolder]],"\",Table11[[#This Row],[FILE_NAME_4]]),Table11[[#This Row],[FILE_NAME_4]])</f>
        <v>Medtronic DES MMC Credit Memo.pdf</v>
      </c>
    </row>
    <row r="14" spans="1:28" x14ac:dyDescent="0.25">
      <c r="A14" s="24">
        <v>88002313</v>
      </c>
      <c r="B14" s="24" t="s">
        <v>1052</v>
      </c>
      <c r="C14" s="24" t="s">
        <v>76</v>
      </c>
      <c r="D14" s="24" t="s">
        <v>880</v>
      </c>
      <c r="E14" s="24" t="s">
        <v>1053</v>
      </c>
      <c r="F14" s="24" t="s">
        <v>68</v>
      </c>
      <c r="G14" s="24" t="s">
        <v>764</v>
      </c>
      <c r="H14" s="24" t="s">
        <v>1054</v>
      </c>
      <c r="I14" s="24" t="s">
        <v>218</v>
      </c>
      <c r="J14" s="24" t="s">
        <v>1055</v>
      </c>
      <c r="K14" s="25">
        <v>276056</v>
      </c>
      <c r="L14" s="26">
        <v>110489</v>
      </c>
      <c r="M14" s="26">
        <v>0</v>
      </c>
      <c r="N14" s="26">
        <v>0</v>
      </c>
      <c r="O14" s="26">
        <v>0</v>
      </c>
      <c r="P14" s="26">
        <v>0</v>
      </c>
      <c r="Q14" s="26">
        <v>10130</v>
      </c>
      <c r="R14" s="26">
        <v>15720</v>
      </c>
      <c r="S14" s="26">
        <v>139717</v>
      </c>
      <c r="T14" s="18" t="s">
        <v>211</v>
      </c>
      <c r="U14" s="24" t="s">
        <v>1056</v>
      </c>
      <c r="V14" s="9" t="str">
        <f>HYPERLINK(_xlfn.CONCAT(Table11[[#This Row],[ParentFolder]],"\",Table11[[#This Row],[FILE_NAME_1]]),Table11[[#This Row],[FILE_NAME_1]])</f>
        <v>10.31.2025 - Montefiore Rebate Summary 10-31-25.xlsx</v>
      </c>
      <c r="W14" s="24"/>
      <c r="X14" s="9"/>
      <c r="Y14" s="24"/>
      <c r="Z14" s="9"/>
      <c r="AA14" s="24"/>
      <c r="AB14" s="9"/>
    </row>
    <row r="15" spans="1:28" x14ac:dyDescent="0.25">
      <c r="A15" s="24">
        <v>88002314</v>
      </c>
      <c r="B15" s="24" t="s">
        <v>1057</v>
      </c>
      <c r="C15" s="24" t="s">
        <v>387</v>
      </c>
      <c r="D15" s="24" t="s">
        <v>1058</v>
      </c>
      <c r="E15" s="24" t="s">
        <v>136</v>
      </c>
      <c r="F15" s="24" t="s">
        <v>68</v>
      </c>
      <c r="G15" s="24" t="s">
        <v>1058</v>
      </c>
      <c r="H15" s="24" t="s">
        <v>1059</v>
      </c>
      <c r="I15" s="24" t="s">
        <v>218</v>
      </c>
      <c r="J15" s="24" t="s">
        <v>1060</v>
      </c>
      <c r="K15" s="25">
        <v>39074</v>
      </c>
      <c r="L15" s="26">
        <v>39074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18" t="s">
        <v>211</v>
      </c>
      <c r="U15" s="24" t="s">
        <v>1061</v>
      </c>
      <c r="V15" s="9" t="str">
        <f>HYPERLINK(_xlfn.CONCAT(Table11[[#This Row],[ParentFolder]],"\",Table11[[#This Row],[FILE_NAME_1]]),Table11[[#This Row],[FILE_NAME_1]])</f>
        <v>ThirdWave - 10.2025 Remittance .xlsx</v>
      </c>
      <c r="W15" s="24"/>
      <c r="X15" s="9"/>
      <c r="Y15" s="24"/>
      <c r="Z15" s="9"/>
      <c r="AA15" s="24"/>
      <c r="AB15" s="9"/>
    </row>
    <row r="16" spans="1:28" x14ac:dyDescent="0.25">
      <c r="A16" s="24">
        <v>88002315</v>
      </c>
      <c r="B16" s="24" t="s">
        <v>1062</v>
      </c>
      <c r="C16" s="24" t="s">
        <v>76</v>
      </c>
      <c r="D16" s="24" t="s">
        <v>439</v>
      </c>
      <c r="E16" s="24" t="s">
        <v>58</v>
      </c>
      <c r="F16" s="24" t="s">
        <v>68</v>
      </c>
      <c r="G16" s="24" t="s">
        <v>172</v>
      </c>
      <c r="H16" s="24" t="s">
        <v>1063</v>
      </c>
      <c r="I16" s="24" t="s">
        <v>266</v>
      </c>
      <c r="J16" s="24" t="s">
        <v>1064</v>
      </c>
      <c r="K16" s="25">
        <v>168000</v>
      </c>
      <c r="L16" s="26">
        <v>168000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18" t="s">
        <v>211</v>
      </c>
      <c r="U16" s="24" t="s">
        <v>1065</v>
      </c>
      <c r="V16" s="9" t="str">
        <f>HYPERLINK(_xlfn.CONCAT(Table11[[#This Row],[ParentFolder]],"\",Table11[[#This Row],[FILE_NAME_1]]),Table11[[#This Row],[FILE_NAME_1]])</f>
        <v>BSCI Farapulse Rebate MMC 2025Q3 11.5.25.pdf</v>
      </c>
      <c r="W16" s="24" t="s">
        <v>441</v>
      </c>
      <c r="X16" s="9" t="str">
        <f>HYPERLINK(_xlfn.CONCAT(Table11[[#This Row],[ParentFolder]],"\",Table11[[#This Row],[FILE_NAME_2]]),Table11[[#This Row],[FILE_NAME_2]])</f>
        <v>Farapulse Rebate Information 12.11.24.pdf</v>
      </c>
      <c r="Y16" s="24"/>
      <c r="Z16" s="9"/>
      <c r="AA16" s="24"/>
      <c r="AB16" s="9"/>
    </row>
    <row r="17" spans="1:28" x14ac:dyDescent="0.25">
      <c r="A17" s="24">
        <v>88002316</v>
      </c>
      <c r="B17" s="24" t="s">
        <v>1066</v>
      </c>
      <c r="C17" s="24" t="s">
        <v>387</v>
      </c>
      <c r="D17" s="24" t="s">
        <v>353</v>
      </c>
      <c r="E17" s="24" t="s">
        <v>136</v>
      </c>
      <c r="F17" s="24" t="s">
        <v>68</v>
      </c>
      <c r="G17" s="24" t="s">
        <v>354</v>
      </c>
      <c r="H17" s="24" t="s">
        <v>1067</v>
      </c>
      <c r="I17" s="24" t="s">
        <v>266</v>
      </c>
      <c r="J17" s="24" t="s">
        <v>888</v>
      </c>
      <c r="K17" s="25">
        <v>269259</v>
      </c>
      <c r="L17" s="26">
        <v>184370</v>
      </c>
      <c r="M17" s="26">
        <v>64</v>
      </c>
      <c r="N17" s="26">
        <v>93</v>
      </c>
      <c r="O17" s="26">
        <v>203</v>
      </c>
      <c r="P17" s="26">
        <v>198</v>
      </c>
      <c r="Q17" s="26">
        <v>19992</v>
      </c>
      <c r="R17" s="26">
        <v>6866</v>
      </c>
      <c r="S17" s="26">
        <v>57473</v>
      </c>
      <c r="T17" s="18" t="s">
        <v>211</v>
      </c>
      <c r="U17" s="24" t="s">
        <v>1068</v>
      </c>
      <c r="V17" s="9" t="str">
        <f>HYPERLINK(_xlfn.CONCAT(Table11[[#This Row],[ParentFolder]],"\",Table11[[#This Row],[FILE_NAME_1]]),Table11[[#This Row],[FILE_NAME_1]])</f>
        <v>2025 - Q3 - SPD rebate saving - .xlsx</v>
      </c>
      <c r="W17" s="24"/>
      <c r="X17" s="9"/>
      <c r="Y17" s="24"/>
      <c r="Z17" s="9"/>
      <c r="AA17" s="24"/>
      <c r="AB17" s="9"/>
    </row>
    <row r="18" spans="1:28" x14ac:dyDescent="0.25">
      <c r="A18" s="24">
        <v>88002317</v>
      </c>
      <c r="B18" s="24" t="s">
        <v>1069</v>
      </c>
      <c r="C18" s="24" t="s">
        <v>76</v>
      </c>
      <c r="D18" s="24" t="s">
        <v>1070</v>
      </c>
      <c r="E18" s="24" t="s">
        <v>77</v>
      </c>
      <c r="F18" s="24" t="s">
        <v>102</v>
      </c>
      <c r="G18" s="24" t="s">
        <v>1071</v>
      </c>
      <c r="H18" s="24" t="s">
        <v>1072</v>
      </c>
      <c r="I18" s="24" t="s">
        <v>153</v>
      </c>
      <c r="J18" s="24" t="s">
        <v>1073</v>
      </c>
      <c r="K18" s="25">
        <v>18088</v>
      </c>
      <c r="L18" s="26">
        <v>18088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18" t="s">
        <v>211</v>
      </c>
      <c r="U18" s="24" t="s">
        <v>1074</v>
      </c>
      <c r="V18" s="9" t="str">
        <f>HYPERLINK(_xlfn.CONCAT(Table11[[#This Row],[ParentFolder]],"\",Table11[[#This Row],[FILE_NAME_1]]),Table11[[#This Row],[FILE_NAME_1]])</f>
        <v>Nov 12 rebate - US Foods.jpg</v>
      </c>
      <c r="W18" s="24"/>
      <c r="X18" s="9"/>
      <c r="Y18" s="24"/>
      <c r="Z18" s="9"/>
      <c r="AA18" s="24"/>
      <c r="AB18" s="9"/>
    </row>
    <row r="19" spans="1:28" x14ac:dyDescent="0.25">
      <c r="A19" s="24">
        <v>88002328</v>
      </c>
      <c r="B19" s="24" t="s">
        <v>1075</v>
      </c>
      <c r="C19" s="24" t="s">
        <v>64</v>
      </c>
      <c r="D19" s="24" t="s">
        <v>183</v>
      </c>
      <c r="E19" s="24" t="s">
        <v>136</v>
      </c>
      <c r="F19" s="24" t="s">
        <v>102</v>
      </c>
      <c r="G19" s="24" t="s">
        <v>137</v>
      </c>
      <c r="H19" s="24" t="s">
        <v>1076</v>
      </c>
      <c r="I19" s="24" t="s">
        <v>184</v>
      </c>
      <c r="J19" s="24" t="s">
        <v>364</v>
      </c>
      <c r="K19" s="25">
        <v>137923</v>
      </c>
      <c r="L19" s="26">
        <v>15392</v>
      </c>
      <c r="M19" s="26">
        <v>374</v>
      </c>
      <c r="N19" s="26">
        <v>0</v>
      </c>
      <c r="O19" s="26">
        <v>463</v>
      </c>
      <c r="P19" s="26">
        <v>2067</v>
      </c>
      <c r="Q19" s="26">
        <v>358</v>
      </c>
      <c r="R19" s="26">
        <v>237</v>
      </c>
      <c r="S19" s="26">
        <v>119032</v>
      </c>
      <c r="T19" s="18" t="s">
        <v>211</v>
      </c>
      <c r="U19" s="24" t="s">
        <v>1077</v>
      </c>
      <c r="V19" s="9" t="str">
        <f>HYPERLINK(_xlfn.CONCAT(Table11[[#This Row],[ParentFolder]],"\",Table11[[#This Row],[FILE_NAME_1]]),Table11[[#This Row],[FILE_NAME_1]])</f>
        <v>Q 3 2025 Premier-  Rebates Paid  .xlsx</v>
      </c>
      <c r="W19" s="24"/>
      <c r="X19" s="9"/>
      <c r="Y19" s="24"/>
      <c r="Z19" s="9"/>
      <c r="AA19" s="24"/>
      <c r="AB19" s="9"/>
    </row>
    <row r="20" spans="1:28" x14ac:dyDescent="0.25">
      <c r="A20" s="24">
        <v>88002329</v>
      </c>
      <c r="B20" s="24" t="s">
        <v>1078</v>
      </c>
      <c r="C20" s="24" t="s">
        <v>352</v>
      </c>
      <c r="D20" s="24" t="s">
        <v>353</v>
      </c>
      <c r="E20" s="24" t="s">
        <v>136</v>
      </c>
      <c r="F20" s="24" t="s">
        <v>68</v>
      </c>
      <c r="G20" s="24" t="s">
        <v>354</v>
      </c>
      <c r="H20" s="24" t="s">
        <v>1076</v>
      </c>
      <c r="I20" s="24" t="s">
        <v>218</v>
      </c>
      <c r="J20" s="24" t="s">
        <v>364</v>
      </c>
      <c r="K20" s="25">
        <v>57924</v>
      </c>
      <c r="L20" s="26">
        <v>42179</v>
      </c>
      <c r="M20" s="26">
        <v>2135</v>
      </c>
      <c r="N20" s="26">
        <v>61</v>
      </c>
      <c r="O20" s="26">
        <v>1117</v>
      </c>
      <c r="P20" s="26">
        <v>934</v>
      </c>
      <c r="Q20" s="26">
        <v>2426</v>
      </c>
      <c r="R20" s="26">
        <v>2524</v>
      </c>
      <c r="S20" s="26">
        <v>6548</v>
      </c>
      <c r="T20" s="18" t="s">
        <v>211</v>
      </c>
      <c r="U20" s="24" t="s">
        <v>1079</v>
      </c>
      <c r="V20" s="9" t="str">
        <f>HYPERLINK(_xlfn.CONCAT(Table11[[#This Row],[ParentFolder]],"\",Table11[[#This Row],[FILE_NAME_1]]),Table11[[#This Row],[FILE_NAME_1]])</f>
        <v>2025 Q3 generic source saving.xlsx</v>
      </c>
      <c r="W20" s="24"/>
      <c r="X20" s="9"/>
      <c r="Y20" s="24"/>
      <c r="Z20" s="9"/>
      <c r="AA20" s="24"/>
      <c r="AB20" s="9"/>
    </row>
    <row r="21" spans="1:28" x14ac:dyDescent="0.25">
      <c r="A21" s="24">
        <v>88002330</v>
      </c>
      <c r="B21" s="24" t="s">
        <v>1080</v>
      </c>
      <c r="C21" s="24" t="s">
        <v>64</v>
      </c>
      <c r="D21" s="24" t="s">
        <v>138</v>
      </c>
      <c r="E21" s="24" t="s">
        <v>242</v>
      </c>
      <c r="F21" s="24" t="s">
        <v>68</v>
      </c>
      <c r="G21" s="24" t="s">
        <v>427</v>
      </c>
      <c r="H21" s="24" t="s">
        <v>1081</v>
      </c>
      <c r="I21" s="24" t="s">
        <v>218</v>
      </c>
      <c r="J21" s="24" t="s">
        <v>1082</v>
      </c>
      <c r="K21" s="25">
        <v>121317</v>
      </c>
      <c r="L21" s="26">
        <v>121317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18" t="s">
        <v>211</v>
      </c>
      <c r="U21" s="24" t="s">
        <v>1083</v>
      </c>
      <c r="V21" s="9" t="str">
        <f>HYPERLINK(_xlfn.CONCAT(Table11[[#This Row],[ParentFolder]],"\",Table11[[#This Row],[FILE_NAME_1]]),Table11[[#This Row],[FILE_NAME_1]])</f>
        <v>RE Paymode-X Dividends Payments - Montefiore Health System Inc..msg</v>
      </c>
      <c r="W21" s="24"/>
      <c r="X21" s="9"/>
      <c r="Y21" s="24"/>
      <c r="Z21" s="9"/>
      <c r="AA21" s="24"/>
      <c r="AB21" s="9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F28C-BF44-43F6-B8F1-AFD44E2877E9}">
  <dimension ref="A1:AB31"/>
  <sheetViews>
    <sheetView workbookViewId="0">
      <selection activeCell="A31" sqref="A31"/>
    </sheetView>
  </sheetViews>
  <sheetFormatPr defaultRowHeight="15" x14ac:dyDescent="0.25"/>
  <cols>
    <col min="1" max="1" width="12.140625" customWidth="1"/>
    <col min="2" max="2" width="15.28515625" customWidth="1"/>
    <col min="3" max="3" width="14.28515625" customWidth="1"/>
    <col min="4" max="4" width="17.7109375" customWidth="1"/>
    <col min="5" max="5" width="18.28515625" customWidth="1"/>
    <col min="6" max="6" width="16.7109375" customWidth="1"/>
    <col min="7" max="7" width="14.5703125" customWidth="1"/>
    <col min="8" max="8" width="19.42578125" customWidth="1"/>
    <col min="9" max="9" width="21.5703125" customWidth="1"/>
    <col min="10" max="10" width="15.7109375" customWidth="1"/>
    <col min="11" max="11" width="15.85546875" customWidth="1"/>
    <col min="12" max="12" width="13.28515625" customWidth="1"/>
    <col min="13" max="13" width="14.7109375" customWidth="1"/>
    <col min="14" max="14" width="15.28515625" customWidth="1"/>
    <col min="15" max="15" width="14.42578125" customWidth="1"/>
    <col min="16" max="16" width="14.140625" customWidth="1"/>
    <col min="17" max="17" width="14.85546875" customWidth="1"/>
    <col min="18" max="18" width="13.7109375" customWidth="1"/>
    <col min="19" max="19" width="13.28515625" customWidth="1"/>
    <col min="20" max="20" width="19.7109375" customWidth="1"/>
    <col min="21" max="21" width="56.28515625" customWidth="1"/>
    <col min="22" max="22" width="28.28515625" customWidth="1"/>
    <col min="23" max="23" width="22.7109375" customWidth="1"/>
    <col min="24" max="24" width="28.7109375" customWidth="1"/>
    <col min="25" max="25" width="103.140625" bestFit="1" customWidth="1"/>
    <col min="26" max="26" width="63.7109375" bestFit="1" customWidth="1"/>
    <col min="27" max="28" width="44.42578125" bestFit="1" customWidth="1"/>
  </cols>
  <sheetData>
    <row r="1" spans="1:28" x14ac:dyDescent="0.25">
      <c r="A1" s="21" t="s">
        <v>0</v>
      </c>
      <c r="B1" s="21" t="s">
        <v>115</v>
      </c>
      <c r="C1" s="21" t="s">
        <v>116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21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132</v>
      </c>
      <c r="T1" s="21" t="s">
        <v>336</v>
      </c>
      <c r="U1" s="21" t="s">
        <v>201</v>
      </c>
      <c r="V1" s="21" t="s">
        <v>202</v>
      </c>
      <c r="W1" s="21" t="s">
        <v>203</v>
      </c>
      <c r="X1" s="21" t="s">
        <v>374</v>
      </c>
      <c r="Y1" s="21" t="s">
        <v>204</v>
      </c>
      <c r="Z1" s="21" t="s">
        <v>205</v>
      </c>
      <c r="AA1" s="21" t="s">
        <v>206</v>
      </c>
      <c r="AB1" s="21" t="s">
        <v>373</v>
      </c>
    </row>
    <row r="2" spans="1:28" x14ac:dyDescent="0.25">
      <c r="A2" s="21">
        <v>88002260</v>
      </c>
      <c r="B2" s="21" t="s">
        <v>849</v>
      </c>
      <c r="C2" s="21" t="s">
        <v>76</v>
      </c>
      <c r="D2" s="21" t="s">
        <v>95</v>
      </c>
      <c r="E2" s="21" t="s">
        <v>58</v>
      </c>
      <c r="F2" s="21" t="s">
        <v>68</v>
      </c>
      <c r="G2" s="21" t="s">
        <v>97</v>
      </c>
      <c r="H2" s="21" t="s">
        <v>850</v>
      </c>
      <c r="I2" s="21" t="s">
        <v>266</v>
      </c>
      <c r="J2" s="21" t="s">
        <v>851</v>
      </c>
      <c r="K2" s="23">
        <v>46000</v>
      </c>
      <c r="L2" s="18">
        <v>34000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12000</v>
      </c>
      <c r="T2" s="18" t="s">
        <v>211</v>
      </c>
      <c r="U2" s="21" t="s">
        <v>542</v>
      </c>
      <c r="V2" s="21" t="s">
        <v>852</v>
      </c>
      <c r="W2" s="21" t="s">
        <v>853</v>
      </c>
      <c r="X2" s="21" t="s">
        <v>854</v>
      </c>
      <c r="Y2" s="9" t="str">
        <f>HYPERLINK(_xlfn.CONCAT(Table10[[#This Row],[ParentFolder]],"\",Table10[[#This Row],[FILE_NAME_1]]),Table10[[#This Row],[FILE_NAME_1]])</f>
        <v>Medtronic Structural Heart Rebate Terms 9.24.24.pdf</v>
      </c>
      <c r="Z2" s="9" t="str">
        <f>HYPERLINK(_xlfn.CONCAT(Table10[[#This Row],[ParentFolder]],"\",Table10[[#This Row],[FILE_NAME_2]]),Table10[[#This Row],[FILE_NAME_2]])</f>
        <v>Medtronic TAVR Rebate Breakdown 8.6.25.xlsx</v>
      </c>
      <c r="AA2" s="9" t="str">
        <f>HYPERLINK(_xlfn.CONCAT(Table10[[#This Row],[ParentFolder]],"\",Table10[[#This Row],[FILE_NAME_3]]),Table10[[#This Row],[FILE_NAME_3]])</f>
        <v>Medtronic TAVR Rebate Montefiore 8.6.25.pdf</v>
      </c>
      <c r="AB2" s="9" t="str">
        <f>HYPERLINK(_xlfn.CONCAT(Table10[[#This Row],[ParentFolder]],"\",Table10[[#This Row],[FILE_NAME_4]]),Table10[[#This Row],[FILE_NAME_4]])</f>
        <v>Medtronic TAVR Rebate WPH 8.6.25.pdf</v>
      </c>
    </row>
    <row r="3" spans="1:28" x14ac:dyDescent="0.25">
      <c r="A3" s="21">
        <v>88002261</v>
      </c>
      <c r="B3" s="21" t="s">
        <v>855</v>
      </c>
      <c r="C3" s="21" t="s">
        <v>64</v>
      </c>
      <c r="D3" s="21" t="s">
        <v>856</v>
      </c>
      <c r="E3" s="21" t="s">
        <v>88</v>
      </c>
      <c r="F3" s="21" t="s">
        <v>102</v>
      </c>
      <c r="G3" s="21" t="s">
        <v>857</v>
      </c>
      <c r="H3" s="21" t="s">
        <v>858</v>
      </c>
      <c r="I3" s="21" t="s">
        <v>218</v>
      </c>
      <c r="J3" s="21" t="s">
        <v>855</v>
      </c>
      <c r="K3" s="23">
        <v>104397</v>
      </c>
      <c r="L3" s="18">
        <v>104397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 t="s">
        <v>211</v>
      </c>
      <c r="U3" s="21" t="s">
        <v>859</v>
      </c>
      <c r="V3" s="21"/>
      <c r="W3" s="21"/>
      <c r="X3" s="21"/>
      <c r="Y3" s="9" t="str">
        <f>HYPERLINK(_xlfn.CONCAT(Table10[[#This Row],[ParentFolder]],"\",Table10[[#This Row],[FILE_NAME_1]]),Table10[[#This Row],[FILE_NAME_1]])</f>
        <v>Baxter IV Therapy Rebate MMC  2-1-2024 to 1-31-2025.pdf</v>
      </c>
      <c r="Z3" s="9"/>
      <c r="AA3" s="9"/>
      <c r="AB3" s="9"/>
    </row>
    <row r="4" spans="1:28" x14ac:dyDescent="0.25">
      <c r="A4" s="21">
        <v>88002262</v>
      </c>
      <c r="B4" s="21" t="s">
        <v>860</v>
      </c>
      <c r="C4" s="21" t="s">
        <v>64</v>
      </c>
      <c r="D4" s="21" t="s">
        <v>856</v>
      </c>
      <c r="E4" s="21" t="s">
        <v>88</v>
      </c>
      <c r="F4" s="21" t="s">
        <v>102</v>
      </c>
      <c r="G4" s="21" t="s">
        <v>857</v>
      </c>
      <c r="H4" s="21" t="s">
        <v>858</v>
      </c>
      <c r="I4" s="21" t="s">
        <v>218</v>
      </c>
      <c r="J4" s="21" t="s">
        <v>861</v>
      </c>
      <c r="K4" s="23">
        <v>3954</v>
      </c>
      <c r="L4" s="18">
        <v>0</v>
      </c>
      <c r="M4" s="18">
        <v>0</v>
      </c>
      <c r="N4" s="18">
        <v>0</v>
      </c>
      <c r="O4" s="18">
        <v>3954</v>
      </c>
      <c r="P4" s="18">
        <v>0</v>
      </c>
      <c r="Q4" s="18">
        <v>0</v>
      </c>
      <c r="R4" s="18">
        <v>0</v>
      </c>
      <c r="S4" s="18">
        <v>0</v>
      </c>
      <c r="T4" s="18" t="s">
        <v>211</v>
      </c>
      <c r="U4" s="21" t="s">
        <v>862</v>
      </c>
      <c r="V4" s="21"/>
      <c r="W4" s="21"/>
      <c r="X4" s="21"/>
      <c r="Y4" s="9" t="str">
        <f>HYPERLINK(_xlfn.CONCAT(Table10[[#This Row],[ParentFolder]],"\",Table10[[#This Row],[FILE_NAME_1]]),Table10[[#This Row],[FILE_NAME_1]])</f>
        <v>Baxter IV Therapy Rebate MOUNT VERNON 2-1-2024 to 1-31-2025.pdf</v>
      </c>
      <c r="Z4" s="9"/>
      <c r="AA4" s="9"/>
      <c r="AB4" s="9"/>
    </row>
    <row r="5" spans="1:28" x14ac:dyDescent="0.25">
      <c r="A5" s="21">
        <v>88002263</v>
      </c>
      <c r="B5" s="21" t="s">
        <v>863</v>
      </c>
      <c r="C5" s="21" t="s">
        <v>64</v>
      </c>
      <c r="D5" s="21" t="s">
        <v>856</v>
      </c>
      <c r="E5" s="21" t="s">
        <v>88</v>
      </c>
      <c r="F5" s="21" t="s">
        <v>102</v>
      </c>
      <c r="G5" s="21" t="s">
        <v>857</v>
      </c>
      <c r="H5" s="21" t="s">
        <v>858</v>
      </c>
      <c r="I5" s="21" t="s">
        <v>218</v>
      </c>
      <c r="J5" s="21" t="s">
        <v>864</v>
      </c>
      <c r="K5" s="23">
        <v>11455</v>
      </c>
      <c r="L5" s="18">
        <v>0</v>
      </c>
      <c r="M5" s="18">
        <v>0</v>
      </c>
      <c r="N5" s="18">
        <v>0</v>
      </c>
      <c r="O5" s="18">
        <v>0</v>
      </c>
      <c r="P5" s="18">
        <v>11455</v>
      </c>
      <c r="Q5" s="18">
        <v>0</v>
      </c>
      <c r="R5" s="18">
        <v>0</v>
      </c>
      <c r="S5" s="18">
        <v>0</v>
      </c>
      <c r="T5" s="18" t="s">
        <v>211</v>
      </c>
      <c r="U5" s="21" t="s">
        <v>865</v>
      </c>
      <c r="V5" s="21"/>
      <c r="W5" s="21"/>
      <c r="X5" s="21"/>
      <c r="Y5" s="9" t="str">
        <f>HYPERLINK(_xlfn.CONCAT(Table10[[#This Row],[ParentFolder]],"\",Table10[[#This Row],[FILE_NAME_1]]),Table10[[#This Row],[FILE_NAME_1]])</f>
        <v>Baxter IV Therapy Rebate NEW ROCHELLE 2-1-2024 to 1-31-2025.pdf</v>
      </c>
      <c r="Z5" s="9"/>
      <c r="AA5" s="9"/>
      <c r="AB5" s="9"/>
    </row>
    <row r="6" spans="1:28" x14ac:dyDescent="0.25">
      <c r="A6" s="21">
        <v>88002264</v>
      </c>
      <c r="B6" s="21" t="s">
        <v>866</v>
      </c>
      <c r="C6" s="21" t="s">
        <v>64</v>
      </c>
      <c r="D6" s="21" t="s">
        <v>856</v>
      </c>
      <c r="E6" s="21" t="s">
        <v>88</v>
      </c>
      <c r="F6" s="21" t="s">
        <v>102</v>
      </c>
      <c r="G6" s="21" t="s">
        <v>857</v>
      </c>
      <c r="H6" s="21" t="s">
        <v>858</v>
      </c>
      <c r="I6" s="21" t="s">
        <v>218</v>
      </c>
      <c r="J6" s="21" t="s">
        <v>867</v>
      </c>
      <c r="K6" s="23">
        <v>19094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19094</v>
      </c>
      <c r="R6" s="18">
        <v>0</v>
      </c>
      <c r="S6" s="18">
        <v>0</v>
      </c>
      <c r="T6" s="18" t="s">
        <v>211</v>
      </c>
      <c r="U6" s="21" t="s">
        <v>868</v>
      </c>
      <c r="V6" s="21"/>
      <c r="W6" s="21"/>
      <c r="X6" s="21"/>
      <c r="Y6" s="9" t="str">
        <f>HYPERLINK(_xlfn.CONCAT(Table10[[#This Row],[ParentFolder]],"\",Table10[[#This Row],[FILE_NAME_1]]),Table10[[#This Row],[FILE_NAME_1]])</f>
        <v>Baxter IV Therapy Rebate NYACK 2-1-2024 to 1-31-2025.pdf</v>
      </c>
      <c r="Z6" s="9"/>
      <c r="AA6" s="9"/>
      <c r="AB6" s="9"/>
    </row>
    <row r="7" spans="1:28" x14ac:dyDescent="0.25">
      <c r="A7" s="21">
        <v>88002265</v>
      </c>
      <c r="B7" s="21" t="s">
        <v>869</v>
      </c>
      <c r="C7" s="21" t="s">
        <v>387</v>
      </c>
      <c r="D7" s="21" t="s">
        <v>870</v>
      </c>
      <c r="E7" s="21" t="s">
        <v>136</v>
      </c>
      <c r="F7" s="21" t="s">
        <v>68</v>
      </c>
      <c r="G7" s="21" t="s">
        <v>354</v>
      </c>
      <c r="H7" s="21" t="s">
        <v>871</v>
      </c>
      <c r="I7" s="21" t="s">
        <v>266</v>
      </c>
      <c r="J7" s="21" t="s">
        <v>872</v>
      </c>
      <c r="K7" s="23">
        <v>263379</v>
      </c>
      <c r="L7" s="18">
        <v>183883</v>
      </c>
      <c r="M7" s="18">
        <v>111</v>
      </c>
      <c r="N7" s="18">
        <v>0</v>
      </c>
      <c r="O7" s="18">
        <v>312</v>
      </c>
      <c r="P7" s="18">
        <v>356</v>
      </c>
      <c r="Q7" s="18">
        <v>21161</v>
      </c>
      <c r="R7" s="18">
        <v>6323</v>
      </c>
      <c r="S7" s="18">
        <v>51233</v>
      </c>
      <c r="T7" s="18" t="s">
        <v>211</v>
      </c>
      <c r="U7" s="21" t="s">
        <v>873</v>
      </c>
      <c r="V7" s="21"/>
      <c r="W7" s="21"/>
      <c r="X7" s="21"/>
      <c r="Y7" s="9" t="str">
        <f>HYPERLINK(_xlfn.CONCAT(Table10[[#This Row],[ParentFolder]],"\",Table10[[#This Row],[FILE_NAME_1]]),Table10[[#This Row],[FILE_NAME_1]])</f>
        <v>2025 - Q2 - SPD rebate saving - .xlsx</v>
      </c>
      <c r="Z7" s="9"/>
      <c r="AA7" s="9"/>
      <c r="AB7" s="9"/>
    </row>
    <row r="8" spans="1:28" x14ac:dyDescent="0.25">
      <c r="A8" s="21">
        <v>88002266</v>
      </c>
      <c r="B8" s="21" t="s">
        <v>874</v>
      </c>
      <c r="C8" s="21" t="s">
        <v>352</v>
      </c>
      <c r="D8" s="21" t="s">
        <v>875</v>
      </c>
      <c r="E8" s="21" t="s">
        <v>136</v>
      </c>
      <c r="F8" s="21" t="s">
        <v>68</v>
      </c>
      <c r="G8" s="21" t="s">
        <v>354</v>
      </c>
      <c r="H8" s="21" t="s">
        <v>871</v>
      </c>
      <c r="I8" s="21" t="s">
        <v>266</v>
      </c>
      <c r="J8" s="21" t="s">
        <v>876</v>
      </c>
      <c r="K8" s="23">
        <v>115751</v>
      </c>
      <c r="L8" s="18">
        <v>86906</v>
      </c>
      <c r="M8" s="18">
        <v>3525</v>
      </c>
      <c r="N8" s="18">
        <v>167</v>
      </c>
      <c r="O8" s="18">
        <v>2040</v>
      </c>
      <c r="P8" s="18">
        <v>1952</v>
      </c>
      <c r="Q8" s="18">
        <v>3760</v>
      </c>
      <c r="R8" s="18">
        <v>4249</v>
      </c>
      <c r="S8" s="18">
        <v>13152</v>
      </c>
      <c r="T8" s="18" t="s">
        <v>211</v>
      </c>
      <c r="U8" s="21" t="s">
        <v>877</v>
      </c>
      <c r="V8" s="21" t="s">
        <v>878</v>
      </c>
      <c r="W8" s="21"/>
      <c r="X8" s="21"/>
      <c r="Y8" s="9" t="str">
        <f>HYPERLINK(_xlfn.CONCAT(Table10[[#This Row],[ParentFolder]],"\",Table10[[#This Row],[FILE_NAME_1]]),Table10[[#This Row],[FILE_NAME_1]])</f>
        <v>2025 - Q2 - source rebate saving - .xlsx</v>
      </c>
      <c r="Z8" s="9" t="str">
        <f>HYPERLINK(_xlfn.CONCAT(Table10[[#This Row],[ParentFolder]],"\",Table10[[#This Row],[FILE_NAME_2]]),Table10[[#This Row],[FILE_NAME_2]])</f>
        <v>2025 - Q2 - source rebate saving - _20250812161953.xlsx</v>
      </c>
      <c r="AA8" s="9"/>
      <c r="AB8" s="9"/>
    </row>
    <row r="9" spans="1:28" x14ac:dyDescent="0.25">
      <c r="A9" s="21">
        <v>88002267</v>
      </c>
      <c r="B9" s="21" t="s">
        <v>879</v>
      </c>
      <c r="C9" s="21" t="s">
        <v>76</v>
      </c>
      <c r="D9" s="21" t="s">
        <v>880</v>
      </c>
      <c r="E9" s="21" t="s">
        <v>136</v>
      </c>
      <c r="F9" s="21" t="s">
        <v>68</v>
      </c>
      <c r="G9" s="21" t="s">
        <v>764</v>
      </c>
      <c r="H9" s="21" t="s">
        <v>871</v>
      </c>
      <c r="I9" s="21" t="s">
        <v>218</v>
      </c>
      <c r="J9" s="21" t="s">
        <v>881</v>
      </c>
      <c r="K9" s="23">
        <v>59784</v>
      </c>
      <c r="L9" s="18">
        <v>34542</v>
      </c>
      <c r="M9" s="18">
        <v>0</v>
      </c>
      <c r="N9" s="18">
        <v>0</v>
      </c>
      <c r="O9" s="18">
        <v>0</v>
      </c>
      <c r="P9" s="18">
        <v>0</v>
      </c>
      <c r="Q9" s="18">
        <v>1329</v>
      </c>
      <c r="R9" s="18">
        <v>3986</v>
      </c>
      <c r="S9" s="18">
        <v>19927</v>
      </c>
      <c r="T9" s="18" t="s">
        <v>211</v>
      </c>
      <c r="U9" s="21" t="s">
        <v>882</v>
      </c>
      <c r="V9" s="21" t="s">
        <v>883</v>
      </c>
      <c r="W9" s="21"/>
      <c r="X9" s="21"/>
      <c r="Y9" s="9" t="str">
        <f>HYPERLINK(_xlfn.CONCAT(Table10[[#This Row],[ParentFolder]],"\",Table10[[#This Row],[FILE_NAME_1]]),Table10[[#This Row],[FILE_NAME_1]])</f>
        <v>7.17.25 -Montefiore Medical Park Base Fee April 2025 Customer Rebate Report -Feb-April.xlsx</v>
      </c>
      <c r="Z9" s="9" t="str">
        <f>HYPERLINK(_xlfn.CONCAT(Table10[[#This Row],[ParentFolder]],"\",Table10[[#This Row],[FILE_NAME_2]]),Table10[[#This Row],[FILE_NAME_2]])</f>
        <v>Lantheus- Progenics pharmacy  ACH Wire Transfer paid 7.17.25.pdf</v>
      </c>
      <c r="AA9" s="9"/>
      <c r="AB9" s="9"/>
    </row>
    <row r="10" spans="1:28" x14ac:dyDescent="0.25">
      <c r="A10" s="21">
        <v>88002268</v>
      </c>
      <c r="B10" s="21" t="s">
        <v>884</v>
      </c>
      <c r="C10" s="21" t="s">
        <v>64</v>
      </c>
      <c r="D10" s="21" t="s">
        <v>856</v>
      </c>
      <c r="E10" s="21" t="s">
        <v>88</v>
      </c>
      <c r="F10" s="21" t="s">
        <v>102</v>
      </c>
      <c r="G10" s="21" t="s">
        <v>857</v>
      </c>
      <c r="H10" s="21" t="s">
        <v>858</v>
      </c>
      <c r="I10" s="21" t="s">
        <v>218</v>
      </c>
      <c r="J10" s="21" t="s">
        <v>884</v>
      </c>
      <c r="K10" s="23">
        <v>12867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12867</v>
      </c>
      <c r="S10" s="18">
        <v>0</v>
      </c>
      <c r="T10" s="18" t="s">
        <v>211</v>
      </c>
      <c r="U10" s="21" t="s">
        <v>885</v>
      </c>
      <c r="V10" s="21"/>
      <c r="W10" s="21"/>
      <c r="X10" s="21"/>
      <c r="Y10" s="9" t="str">
        <f>HYPERLINK(_xlfn.CONCAT(Table10[[#This Row],[ParentFolder]],"\",Table10[[#This Row],[FILE_NAME_1]]),Table10[[#This Row],[FILE_NAME_1]])</f>
        <v>Baxter IV Therapy Rebate ST LUKES  2-1-2024 to 1-31-2025.xlsx</v>
      </c>
      <c r="Z10" s="9"/>
      <c r="AA10" s="9"/>
      <c r="AB10" s="9"/>
    </row>
    <row r="11" spans="1:28" x14ac:dyDescent="0.25">
      <c r="A11" s="21">
        <v>88002269</v>
      </c>
      <c r="B11" s="21" t="s">
        <v>886</v>
      </c>
      <c r="C11" s="21" t="s">
        <v>64</v>
      </c>
      <c r="D11" s="21" t="s">
        <v>183</v>
      </c>
      <c r="E11" s="21" t="s">
        <v>136</v>
      </c>
      <c r="F11" s="21" t="s">
        <v>102</v>
      </c>
      <c r="G11" s="21" t="s">
        <v>137</v>
      </c>
      <c r="H11" s="21" t="s">
        <v>887</v>
      </c>
      <c r="I11" s="21" t="s">
        <v>184</v>
      </c>
      <c r="J11" s="21" t="s">
        <v>888</v>
      </c>
      <c r="K11" s="23">
        <v>153929</v>
      </c>
      <c r="L11" s="18">
        <v>20978</v>
      </c>
      <c r="M11" s="18">
        <v>283</v>
      </c>
      <c r="N11" s="18">
        <v>0</v>
      </c>
      <c r="O11" s="18">
        <v>358</v>
      </c>
      <c r="P11" s="18">
        <v>2026</v>
      </c>
      <c r="Q11" s="18">
        <v>459</v>
      </c>
      <c r="R11" s="18">
        <v>1936</v>
      </c>
      <c r="S11" s="18">
        <v>127889</v>
      </c>
      <c r="T11" s="18" t="s">
        <v>211</v>
      </c>
      <c r="U11" s="21" t="s">
        <v>889</v>
      </c>
      <c r="V11" s="21"/>
      <c r="W11" s="21"/>
      <c r="X11" s="21"/>
      <c r="Y11" s="9" t="str">
        <f>HYPERLINK(_xlfn.CONCAT(Table10[[#This Row],[ParentFolder]],"\",Table10[[#This Row],[FILE_NAME_1]]),Table10[[#This Row],[FILE_NAME_1]])</f>
        <v>Q 2 2025 Premier-  Rebates Paid  .xlsx</v>
      </c>
      <c r="Z11" s="9"/>
      <c r="AA11" s="9"/>
      <c r="AB11" s="9"/>
    </row>
    <row r="12" spans="1:28" x14ac:dyDescent="0.25">
      <c r="A12" s="21">
        <v>88002270</v>
      </c>
      <c r="B12" s="21" t="s">
        <v>890</v>
      </c>
      <c r="C12" s="21" t="s">
        <v>76</v>
      </c>
      <c r="D12" s="21" t="s">
        <v>439</v>
      </c>
      <c r="E12" s="21" t="s">
        <v>58</v>
      </c>
      <c r="F12" s="21" t="s">
        <v>68</v>
      </c>
      <c r="G12" s="21" t="s">
        <v>172</v>
      </c>
      <c r="H12" s="21" t="s">
        <v>887</v>
      </c>
      <c r="I12" s="21" t="s">
        <v>266</v>
      </c>
      <c r="J12" s="21" t="s">
        <v>891</v>
      </c>
      <c r="K12" s="23">
        <v>240000</v>
      </c>
      <c r="L12" s="18">
        <v>240000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 t="s">
        <v>211</v>
      </c>
      <c r="U12" s="21" t="s">
        <v>892</v>
      </c>
      <c r="V12" s="21" t="s">
        <v>441</v>
      </c>
      <c r="W12" s="21" t="s">
        <v>893</v>
      </c>
      <c r="X12" s="21"/>
      <c r="Y12" s="9" t="str">
        <f>HYPERLINK(_xlfn.CONCAT(Table10[[#This Row],[ParentFolder]],"\",Table10[[#This Row],[FILE_NAME_1]]),Table10[[#This Row],[FILE_NAME_1]])</f>
        <v>Farapulse Credit Memo 07742428.pdf</v>
      </c>
      <c r="Z12" s="9" t="str">
        <f>HYPERLINK(_xlfn.CONCAT(Table10[[#This Row],[ParentFolder]],"\",Table10[[#This Row],[FILE_NAME_2]]),Table10[[#This Row],[FILE_NAME_2]])</f>
        <v>Farapulse Rebate Information 12.11.24.pdf</v>
      </c>
      <c r="AA12" s="9" t="str">
        <f>HYPERLINK(_xlfn.CONCAT(Table10[[#This Row],[ParentFolder]],"\",Table10[[#This Row],[FILE_NAME_3]]),Table10[[#This Row],[FILE_NAME_3]])</f>
        <v>MMC Farapulse Rebate 2025Q2.pdf</v>
      </c>
      <c r="AB12" s="9"/>
    </row>
    <row r="13" spans="1:28" x14ac:dyDescent="0.25">
      <c r="A13" s="21">
        <v>88002271</v>
      </c>
      <c r="B13" s="21" t="s">
        <v>894</v>
      </c>
      <c r="C13" s="21" t="s">
        <v>76</v>
      </c>
      <c r="D13" s="21" t="s">
        <v>439</v>
      </c>
      <c r="E13" s="21" t="s">
        <v>58</v>
      </c>
      <c r="F13" s="21" t="s">
        <v>68</v>
      </c>
      <c r="G13" s="21" t="s">
        <v>172</v>
      </c>
      <c r="H13" s="21" t="s">
        <v>895</v>
      </c>
      <c r="I13" s="21" t="s">
        <v>266</v>
      </c>
      <c r="J13" s="21" t="s">
        <v>896</v>
      </c>
      <c r="K13" s="23">
        <v>322000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322000</v>
      </c>
      <c r="T13" s="18" t="s">
        <v>211</v>
      </c>
      <c r="U13" s="21" t="s">
        <v>441</v>
      </c>
      <c r="V13" s="21" t="s">
        <v>897</v>
      </c>
      <c r="W13" s="21" t="s">
        <v>898</v>
      </c>
      <c r="X13" s="21"/>
      <c r="Y13" s="9" t="str">
        <f>HYPERLINK(_xlfn.CONCAT(Table10[[#This Row],[ParentFolder]],"\",Table10[[#This Row],[FILE_NAME_1]]),Table10[[#This Row],[FILE_NAME_1]])</f>
        <v>Farapulse Rebate Information 12.11.24.pdf</v>
      </c>
      <c r="Z13" s="9" t="str">
        <f>HYPERLINK(_xlfn.CONCAT(Table10[[#This Row],[ParentFolder]],"\",Table10[[#This Row],[FILE_NAME_2]]),Table10[[#This Row],[FILE_NAME_2]])</f>
        <v>WPH Farapulse 2025Q2 Rebate Breakdown.pdf</v>
      </c>
      <c r="AA13" s="9" t="str">
        <f>HYPERLINK(_xlfn.CONCAT(Table10[[#This Row],[ParentFolder]],"\",Table10[[#This Row],[FILE_NAME_3]]),Table10[[#This Row],[FILE_NAME_3]])</f>
        <v>WPH Farapulse Credit Memo 08428068.pdf</v>
      </c>
      <c r="AB13" s="9"/>
    </row>
    <row r="14" spans="1:28" x14ac:dyDescent="0.25">
      <c r="A14" s="21">
        <v>88002272</v>
      </c>
      <c r="B14" s="21" t="s">
        <v>899</v>
      </c>
      <c r="C14" s="21" t="s">
        <v>76</v>
      </c>
      <c r="D14" s="21" t="s">
        <v>70</v>
      </c>
      <c r="E14" s="21" t="s">
        <v>58</v>
      </c>
      <c r="F14" s="21" t="s">
        <v>68</v>
      </c>
      <c r="G14" s="21" t="s">
        <v>67</v>
      </c>
      <c r="H14" s="21" t="s">
        <v>900</v>
      </c>
      <c r="I14" s="21" t="s">
        <v>266</v>
      </c>
      <c r="J14" s="21" t="s">
        <v>901</v>
      </c>
      <c r="K14" s="23">
        <v>77500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77500</v>
      </c>
      <c r="T14" s="18" t="s">
        <v>211</v>
      </c>
      <c r="U14" s="21" t="s">
        <v>902</v>
      </c>
      <c r="V14" s="21" t="s">
        <v>903</v>
      </c>
      <c r="W14" s="21"/>
      <c r="X14" s="21"/>
      <c r="Y14" s="9" t="str">
        <f>HYPERLINK(_xlfn.CONCAT(Table10[[#This Row],[ParentFolder]],"\",Table10[[#This Row],[FILE_NAME_1]]),Table10[[#This Row],[FILE_NAME_1]])</f>
        <v>Edwards TAVR Rebate Info 12.4.24.pdf</v>
      </c>
      <c r="Z14" s="9" t="str">
        <f>HYPERLINK(_xlfn.CONCAT(Table10[[#This Row],[ParentFolder]],"\",Table10[[#This Row],[FILE_NAME_2]]),Table10[[#This Row],[FILE_NAME_2]])</f>
        <v>WPH Edwards TAVR Rebate 2025Q2.pdf</v>
      </c>
      <c r="AA14" s="9"/>
      <c r="AB14" s="9"/>
    </row>
    <row r="15" spans="1:28" x14ac:dyDescent="0.25">
      <c r="A15" s="21">
        <v>88002277</v>
      </c>
      <c r="B15" s="21" t="s">
        <v>904</v>
      </c>
      <c r="C15" s="21" t="s">
        <v>76</v>
      </c>
      <c r="D15" s="21" t="s">
        <v>905</v>
      </c>
      <c r="E15" s="21" t="s">
        <v>58</v>
      </c>
      <c r="F15" s="21" t="s">
        <v>68</v>
      </c>
      <c r="G15" s="21" t="s">
        <v>172</v>
      </c>
      <c r="H15" s="21" t="s">
        <v>906</v>
      </c>
      <c r="I15" s="21" t="s">
        <v>266</v>
      </c>
      <c r="J15" s="21" t="s">
        <v>907</v>
      </c>
      <c r="K15" s="23">
        <v>150000</v>
      </c>
      <c r="L15" s="18">
        <v>150000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 t="s">
        <v>211</v>
      </c>
      <c r="U15" s="21" t="s">
        <v>908</v>
      </c>
      <c r="V15" s="21" t="s">
        <v>909</v>
      </c>
      <c r="W15" s="21"/>
      <c r="X15" s="21"/>
      <c r="Y15" s="9" t="str">
        <f>HYPERLINK(_xlfn.CONCAT(Table10[[#This Row],[ParentFolder]],"\",Table10[[#This Row],[FILE_NAME_1]]),Table10[[#This Row],[FILE_NAME_1]])</f>
        <v>BSCI Sentinel Rebate Credit Memo and Breakdown Jan-Jun 2024.pdf</v>
      </c>
      <c r="Z15" s="9" t="str">
        <f>HYPERLINK(_xlfn.CONCAT(Table10[[#This Row],[ParentFolder]],"\",Table10[[#This Row],[FILE_NAME_2]]),Table10[[#This Row],[FILE_NAME_2]])</f>
        <v>BSCI Sentinel Rebate Info.pdf</v>
      </c>
      <c r="AA15" s="9"/>
      <c r="AB15" s="9"/>
    </row>
    <row r="16" spans="1:28" x14ac:dyDescent="0.25">
      <c r="A16" s="21">
        <v>88002278</v>
      </c>
      <c r="B16" s="21" t="s">
        <v>910</v>
      </c>
      <c r="C16" s="21" t="s">
        <v>76</v>
      </c>
      <c r="D16" s="21" t="s">
        <v>905</v>
      </c>
      <c r="E16" s="21" t="s">
        <v>58</v>
      </c>
      <c r="F16" s="21" t="s">
        <v>68</v>
      </c>
      <c r="G16" s="21" t="s">
        <v>172</v>
      </c>
      <c r="H16" s="21" t="s">
        <v>911</v>
      </c>
      <c r="I16" s="21" t="s">
        <v>266</v>
      </c>
      <c r="J16" s="21" t="s">
        <v>912</v>
      </c>
      <c r="K16" s="23">
        <v>81600</v>
      </c>
      <c r="L16" s="18">
        <v>81600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 t="s">
        <v>211</v>
      </c>
      <c r="U16" s="21" t="s">
        <v>913</v>
      </c>
      <c r="V16" s="21" t="s">
        <v>909</v>
      </c>
      <c r="W16" s="21"/>
      <c r="X16" s="21"/>
      <c r="Y16" s="9" t="str">
        <f>HYPERLINK(_xlfn.CONCAT(Table10[[#This Row],[ParentFolder]],"\",Table10[[#This Row],[FILE_NAME_1]]),Table10[[#This Row],[FILE_NAME_1]])</f>
        <v>BSCI Sentinel Rebate Credit Memo and Breakdown Jul24-Dec24.pdf</v>
      </c>
      <c r="Z16" s="9" t="str">
        <f>HYPERLINK(_xlfn.CONCAT(Table10[[#This Row],[ParentFolder]],"\",Table10[[#This Row],[FILE_NAME_2]]),Table10[[#This Row],[FILE_NAME_2]])</f>
        <v>BSCI Sentinel Rebate Info.pdf</v>
      </c>
      <c r="AA16" s="9"/>
      <c r="AB16" s="9"/>
    </row>
    <row r="17" spans="1:28" x14ac:dyDescent="0.25">
      <c r="A17" s="21">
        <v>88002279</v>
      </c>
      <c r="B17" s="21" t="s">
        <v>914</v>
      </c>
      <c r="C17" s="21" t="s">
        <v>76</v>
      </c>
      <c r="D17" s="21" t="s">
        <v>905</v>
      </c>
      <c r="E17" s="21" t="s">
        <v>58</v>
      </c>
      <c r="F17" s="21" t="s">
        <v>68</v>
      </c>
      <c r="G17" s="21" t="s">
        <v>172</v>
      </c>
      <c r="H17" s="21" t="s">
        <v>915</v>
      </c>
      <c r="I17" s="21" t="s">
        <v>266</v>
      </c>
      <c r="J17" s="21" t="s">
        <v>916</v>
      </c>
      <c r="K17" s="23">
        <v>118800</v>
      </c>
      <c r="L17" s="18">
        <v>118800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 t="s">
        <v>211</v>
      </c>
      <c r="U17" s="21" t="s">
        <v>917</v>
      </c>
      <c r="V17" s="21" t="s">
        <v>909</v>
      </c>
      <c r="W17" s="21"/>
      <c r="X17" s="21"/>
      <c r="Y17" s="9" t="str">
        <f>HYPERLINK(_xlfn.CONCAT(Table10[[#This Row],[ParentFolder]],"\",Table10[[#This Row],[FILE_NAME_1]]),Table10[[#This Row],[FILE_NAME_1]])</f>
        <v>BSCI Sentinel Rebate Credit Memo and Breakdown Jan-Jun 2025.pdf</v>
      </c>
      <c r="Z17" s="9" t="str">
        <f>HYPERLINK(_xlfn.CONCAT(Table10[[#This Row],[ParentFolder]],"\",Table10[[#This Row],[FILE_NAME_2]]),Table10[[#This Row],[FILE_NAME_2]])</f>
        <v>BSCI Sentinel Rebate Info.pdf</v>
      </c>
      <c r="AA17" s="9"/>
      <c r="AB17" s="9"/>
    </row>
    <row r="18" spans="1:28" x14ac:dyDescent="0.25">
      <c r="A18" s="21">
        <v>88002280</v>
      </c>
      <c r="B18" s="21" t="s">
        <v>918</v>
      </c>
      <c r="C18" s="21" t="s">
        <v>64</v>
      </c>
      <c r="D18" s="21" t="s">
        <v>919</v>
      </c>
      <c r="E18" s="21" t="s">
        <v>58</v>
      </c>
      <c r="F18" s="21" t="s">
        <v>68</v>
      </c>
      <c r="G18" s="21" t="s">
        <v>920</v>
      </c>
      <c r="H18" s="21" t="s">
        <v>921</v>
      </c>
      <c r="I18" s="21" t="s">
        <v>218</v>
      </c>
      <c r="J18" s="21" t="s">
        <v>922</v>
      </c>
      <c r="K18" s="23">
        <v>18000</v>
      </c>
      <c r="L18" s="18">
        <v>16500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1500</v>
      </c>
      <c r="T18" s="18" t="s">
        <v>211</v>
      </c>
      <c r="U18" s="21" t="s">
        <v>923</v>
      </c>
      <c r="V18" s="21" t="s">
        <v>924</v>
      </c>
      <c r="W18" s="21"/>
      <c r="X18" s="21"/>
      <c r="Y18" s="9" t="str">
        <f>HYPERLINK(_xlfn.CONCAT(Table10[[#This Row],[ParentFolder]],"\",Table10[[#This Row],[FILE_NAME_1]]),Table10[[#This Row],[FILE_NAME_1]])</f>
        <v>03.05.2025 Montefiore Health System Excel Report.xlsx</v>
      </c>
      <c r="Z18" s="9" t="str">
        <f>HYPERLINK(_xlfn.CONCAT(Table10[[#This Row],[ParentFolder]],"\",Table10[[#This Row],[FILE_NAME_2]]),Table10[[#This Row],[FILE_NAME_2]])</f>
        <v>90231_MONTEFIORE HEALTH SYSTEM_CRM_Rebate Notification_2025.05.pdf</v>
      </c>
      <c r="AA18" s="9"/>
      <c r="AB18" s="9"/>
    </row>
    <row r="19" spans="1:28" x14ac:dyDescent="0.25">
      <c r="A19" s="21">
        <v>88002281</v>
      </c>
      <c r="B19" s="21" t="s">
        <v>280</v>
      </c>
      <c r="C19" s="21" t="s">
        <v>76</v>
      </c>
      <c r="D19" s="21" t="s">
        <v>281</v>
      </c>
      <c r="E19" s="21" t="s">
        <v>282</v>
      </c>
      <c r="F19" s="21" t="s">
        <v>68</v>
      </c>
      <c r="G19" s="21" t="s">
        <v>283</v>
      </c>
      <c r="H19" s="21" t="s">
        <v>925</v>
      </c>
      <c r="I19" s="21" t="s">
        <v>266</v>
      </c>
      <c r="J19" s="21" t="s">
        <v>926</v>
      </c>
      <c r="K19" s="23">
        <v>47152</v>
      </c>
      <c r="L19" s="18">
        <v>40063</v>
      </c>
      <c r="M19" s="18">
        <v>0</v>
      </c>
      <c r="N19" s="18">
        <v>0</v>
      </c>
      <c r="O19" s="18">
        <v>1435</v>
      </c>
      <c r="P19" s="18">
        <v>5654</v>
      </c>
      <c r="Q19" s="18">
        <v>0</v>
      </c>
      <c r="R19" s="18">
        <v>0</v>
      </c>
      <c r="S19" s="18">
        <v>0</v>
      </c>
      <c r="T19" s="18" t="s">
        <v>211</v>
      </c>
      <c r="U19" s="21" t="s">
        <v>927</v>
      </c>
      <c r="V19" s="21" t="s">
        <v>928</v>
      </c>
      <c r="W19" s="21"/>
      <c r="X19" s="21"/>
      <c r="Y19" s="9" t="str">
        <f>HYPERLINK(_xlfn.CONCAT(Table10[[#This Row],[ParentFolder]],"\",Table10[[#This Row],[FILE_NAME_1]]),Table10[[#This Row],[FILE_NAME_1]])</f>
        <v>Amendment - Winston Support Services LLC.pdf</v>
      </c>
      <c r="Z19" s="9" t="str">
        <f>HYPERLINK(_xlfn.CONCAT(Table10[[#This Row],[ParentFolder]],"\",Table10[[#This Row],[FILE_NAME_2]]),Table10[[#This Row],[FILE_NAME_2]])</f>
        <v>Winston Rebates 2024 - 2025 9.9.xlsx</v>
      </c>
      <c r="AA19" s="9"/>
      <c r="AB19" s="9"/>
    </row>
    <row r="20" spans="1:28" x14ac:dyDescent="0.25">
      <c r="A20" s="21">
        <v>88002282</v>
      </c>
      <c r="B20" s="21" t="s">
        <v>280</v>
      </c>
      <c r="C20" s="21" t="s">
        <v>76</v>
      </c>
      <c r="D20" s="21" t="s">
        <v>281</v>
      </c>
      <c r="E20" s="21" t="s">
        <v>282</v>
      </c>
      <c r="F20" s="21" t="s">
        <v>68</v>
      </c>
      <c r="G20" s="21" t="s">
        <v>283</v>
      </c>
      <c r="H20" s="21" t="s">
        <v>929</v>
      </c>
      <c r="I20" s="21" t="s">
        <v>266</v>
      </c>
      <c r="J20" s="21" t="s">
        <v>930</v>
      </c>
      <c r="K20" s="23">
        <v>40459</v>
      </c>
      <c r="L20" s="18">
        <v>37367</v>
      </c>
      <c r="M20" s="18">
        <v>0</v>
      </c>
      <c r="N20" s="18">
        <v>0</v>
      </c>
      <c r="O20" s="18">
        <v>0</v>
      </c>
      <c r="P20" s="18">
        <v>3092</v>
      </c>
      <c r="Q20" s="18">
        <v>0</v>
      </c>
      <c r="R20" s="18">
        <v>0</v>
      </c>
      <c r="S20" s="18">
        <v>0</v>
      </c>
      <c r="T20" s="18" t="s">
        <v>211</v>
      </c>
      <c r="U20" s="21" t="s">
        <v>927</v>
      </c>
      <c r="V20" s="21" t="s">
        <v>928</v>
      </c>
      <c r="W20" s="21"/>
      <c r="X20" s="21"/>
      <c r="Y20" s="9" t="str">
        <f>HYPERLINK(_xlfn.CONCAT(Table10[[#This Row],[ParentFolder]],"\",Table10[[#This Row],[FILE_NAME_1]]),Table10[[#This Row],[FILE_NAME_1]])</f>
        <v>Amendment - Winston Support Services LLC.pdf</v>
      </c>
      <c r="Z20" s="9" t="str">
        <f>HYPERLINK(_xlfn.CONCAT(Table10[[#This Row],[ParentFolder]],"\",Table10[[#This Row],[FILE_NAME_2]]),Table10[[#This Row],[FILE_NAME_2]])</f>
        <v>Winston Rebates 2024 - 2025 9.9.xlsx</v>
      </c>
      <c r="AA20" s="9"/>
      <c r="AB20" s="9"/>
    </row>
    <row r="21" spans="1:28" x14ac:dyDescent="0.25">
      <c r="A21" s="21">
        <v>88002283</v>
      </c>
      <c r="B21" s="21" t="s">
        <v>931</v>
      </c>
      <c r="C21" s="21" t="s">
        <v>64</v>
      </c>
      <c r="D21" s="21" t="s">
        <v>932</v>
      </c>
      <c r="E21" s="21" t="s">
        <v>242</v>
      </c>
      <c r="F21" s="21" t="s">
        <v>102</v>
      </c>
      <c r="G21" s="21" t="s">
        <v>933</v>
      </c>
      <c r="H21" s="21" t="s">
        <v>934</v>
      </c>
      <c r="I21" s="21" t="s">
        <v>266</v>
      </c>
      <c r="J21" s="21" t="s">
        <v>935</v>
      </c>
      <c r="K21" s="23">
        <v>100000</v>
      </c>
      <c r="L21" s="18">
        <v>12500</v>
      </c>
      <c r="M21" s="18">
        <v>12500</v>
      </c>
      <c r="N21" s="18">
        <v>12500</v>
      </c>
      <c r="O21" s="18">
        <v>12500</v>
      </c>
      <c r="P21" s="18">
        <v>12500</v>
      </c>
      <c r="Q21" s="18">
        <v>12500</v>
      </c>
      <c r="R21" s="18">
        <v>12500</v>
      </c>
      <c r="S21" s="18">
        <v>12500</v>
      </c>
      <c r="T21" s="18" t="s">
        <v>211</v>
      </c>
      <c r="U21" s="21" t="s">
        <v>936</v>
      </c>
      <c r="V21" s="21"/>
      <c r="W21" s="21"/>
      <c r="X21" s="21"/>
      <c r="Y21" s="9" t="str">
        <f>HYPERLINK(_xlfn.CONCAT(Table10[[#This Row],[ParentFolder]],"\",Table10[[#This Row],[FILE_NAME_1]]),Table10[[#This Row],[FILE_NAME_1]])</f>
        <v>CM Invoice 7194026037.pdf</v>
      </c>
      <c r="Z21" s="9"/>
      <c r="AA21" s="9"/>
      <c r="AB21" s="9"/>
    </row>
    <row r="22" spans="1:28" x14ac:dyDescent="0.25">
      <c r="A22" s="21">
        <v>88002286</v>
      </c>
      <c r="B22" s="21" t="s">
        <v>937</v>
      </c>
      <c r="C22" s="21" t="s">
        <v>64</v>
      </c>
      <c r="D22" s="21" t="s">
        <v>938</v>
      </c>
      <c r="E22" s="21" t="s">
        <v>236</v>
      </c>
      <c r="F22" s="21" t="s">
        <v>68</v>
      </c>
      <c r="G22" s="21" t="s">
        <v>939</v>
      </c>
      <c r="H22" s="21" t="s">
        <v>940</v>
      </c>
      <c r="I22" s="21" t="s">
        <v>153</v>
      </c>
      <c r="J22" s="21" t="s">
        <v>941</v>
      </c>
      <c r="K22" s="23">
        <v>27750</v>
      </c>
      <c r="L22" s="18">
        <v>27750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 t="s">
        <v>211</v>
      </c>
      <c r="U22" s="21" t="s">
        <v>942</v>
      </c>
      <c r="V22" s="21" t="s">
        <v>943</v>
      </c>
      <c r="W22" s="21"/>
      <c r="X22" s="21"/>
      <c r="Y22" s="9" t="str">
        <f>HYPERLINK(_xlfn.CONCAT(Table10[[#This Row],[ParentFolder]],"\",Table10[[#This Row],[FILE_NAME_1]]),Table10[[#This Row],[FILE_NAME_1]])</f>
        <v>MHS - Vending sales rebate PROOF OF DEPOSIT_20250916142804.pdf</v>
      </c>
      <c r="Z22" s="9" t="str">
        <f>HYPERLINK(_xlfn.CONCAT(Table10[[#This Row],[ParentFolder]],"\",Table10[[#This Row],[FILE_NAME_2]]),Table10[[#This Row],[FILE_NAME_2]])</f>
        <v>MHS - Vending sales rebate.pdf</v>
      </c>
      <c r="AA22" s="9"/>
      <c r="AB22" s="9"/>
    </row>
    <row r="23" spans="1:28" x14ac:dyDescent="0.25">
      <c r="A23" s="21">
        <v>88002287</v>
      </c>
      <c r="B23" s="21" t="s">
        <v>944</v>
      </c>
      <c r="C23" s="21" t="s">
        <v>64</v>
      </c>
      <c r="D23" s="21" t="s">
        <v>241</v>
      </c>
      <c r="E23" s="21" t="s">
        <v>242</v>
      </c>
      <c r="F23" s="21" t="s">
        <v>68</v>
      </c>
      <c r="G23" s="21" t="s">
        <v>241</v>
      </c>
      <c r="H23" s="21" t="s">
        <v>934</v>
      </c>
      <c r="I23" s="21" t="s">
        <v>218</v>
      </c>
      <c r="J23" s="21" t="s">
        <v>944</v>
      </c>
      <c r="K23" s="23">
        <v>89916</v>
      </c>
      <c r="L23" s="18">
        <v>89916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 t="s">
        <v>211</v>
      </c>
      <c r="U23" s="21" t="s">
        <v>945</v>
      </c>
      <c r="V23" s="21"/>
      <c r="W23" s="21"/>
      <c r="X23" s="21"/>
      <c r="Y23" s="9" t="str">
        <f>HYPERLINK(_xlfn.CONCAT(Table10[[#This Row],[ParentFolder]],"\",Table10[[#This Row],[FILE_NAME_1]]),Table10[[#This Row],[FILE_NAME_1]])</f>
        <v>FW Montefiore Medical Center Commercial Card Rebate - May through Jul 2025 - REBATE Payment Processed 09-04-2025.msg</v>
      </c>
      <c r="Z23" s="9"/>
      <c r="AA23" s="9"/>
      <c r="AB23" s="9"/>
    </row>
    <row r="24" spans="1:28" x14ac:dyDescent="0.25">
      <c r="A24" s="21">
        <v>88002288</v>
      </c>
      <c r="B24" s="21" t="s">
        <v>280</v>
      </c>
      <c r="C24" s="21" t="s">
        <v>76</v>
      </c>
      <c r="D24" s="21" t="s">
        <v>298</v>
      </c>
      <c r="E24" s="21" t="s">
        <v>282</v>
      </c>
      <c r="F24" s="21" t="s">
        <v>68</v>
      </c>
      <c r="G24" s="21" t="s">
        <v>299</v>
      </c>
      <c r="H24" s="21" t="s">
        <v>946</v>
      </c>
      <c r="I24" s="21" t="s">
        <v>153</v>
      </c>
      <c r="J24" s="21" t="s">
        <v>947</v>
      </c>
      <c r="K24" s="23">
        <v>127550</v>
      </c>
      <c r="L24" s="18">
        <v>127550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 t="s">
        <v>211</v>
      </c>
      <c r="U24" s="21" t="s">
        <v>948</v>
      </c>
      <c r="V24" s="21" t="s">
        <v>949</v>
      </c>
      <c r="W24" s="21" t="s">
        <v>950</v>
      </c>
      <c r="X24" s="21" t="s">
        <v>951</v>
      </c>
      <c r="Y24" s="9" t="str">
        <f>HYPERLINK(_xlfn.CONCAT(Table10[[#This Row],[ParentFolder]],"\",Table10[[#This Row],[FILE_NAME_1]]),Table10[[#This Row],[FILE_NAME_1]])</f>
        <v>2 Fastaff Amendment 4 Montefiore Med Ctr BRONX locations 20240301 Fully executed .pdf</v>
      </c>
      <c r="Z24" s="9" t="str">
        <f>HYPERLINK(_xlfn.CONCAT(Table10[[#This Row],[ParentFolder]],"\",Table10[[#This Row],[FILE_NAME_2]]),Table10[[#This Row],[FILE_NAME_2]])</f>
        <v>Clinical Staffing Agreement - Fastaff LLC_20250917134425.pdf</v>
      </c>
      <c r="AA24" s="9" t="str">
        <f>HYPERLINK(_xlfn.CONCAT(Table10[[#This Row],[ParentFolder]],"\",Table10[[#This Row],[FILE_NAME_3]]),Table10[[#This Row],[FILE_NAME_3]])</f>
        <v>Fastaff Rebates 2024-2025 9.4.xlsx</v>
      </c>
      <c r="AB24" s="9" t="str">
        <f>HYPERLINK(_xlfn.CONCAT(Table10[[#This Row],[ParentFolder]],"\",Table10[[#This Row],[FILE_NAME_4]]),Table10[[#This Row],[FILE_NAME_4]])</f>
        <v>Fastaff Rebates 2024-2025 9.4_20250924143843.xlsx</v>
      </c>
    </row>
    <row r="25" spans="1:28" x14ac:dyDescent="0.25">
      <c r="A25" s="21">
        <v>88002289</v>
      </c>
      <c r="B25" s="21" t="s">
        <v>280</v>
      </c>
      <c r="C25" s="21" t="s">
        <v>76</v>
      </c>
      <c r="D25" s="21" t="s">
        <v>298</v>
      </c>
      <c r="E25" s="21" t="s">
        <v>282</v>
      </c>
      <c r="F25" s="21" t="s">
        <v>68</v>
      </c>
      <c r="G25" s="21" t="s">
        <v>299</v>
      </c>
      <c r="H25" s="21" t="s">
        <v>952</v>
      </c>
      <c r="I25" s="21" t="s">
        <v>153</v>
      </c>
      <c r="J25" s="21" t="s">
        <v>953</v>
      </c>
      <c r="K25" s="23">
        <v>3115</v>
      </c>
      <c r="L25" s="18">
        <v>0</v>
      </c>
      <c r="M25" s="18">
        <v>0</v>
      </c>
      <c r="N25" s="18">
        <v>0</v>
      </c>
      <c r="O25" s="18">
        <v>3115</v>
      </c>
      <c r="P25" s="18">
        <v>0</v>
      </c>
      <c r="Q25" s="18">
        <v>0</v>
      </c>
      <c r="R25" s="18">
        <v>0</v>
      </c>
      <c r="S25" s="18">
        <v>0</v>
      </c>
      <c r="T25" s="18" t="s">
        <v>211</v>
      </c>
      <c r="U25" s="21" t="s">
        <v>954</v>
      </c>
      <c r="V25" s="21" t="s">
        <v>950</v>
      </c>
      <c r="W25" s="21" t="s">
        <v>955</v>
      </c>
      <c r="X25" s="21"/>
      <c r="Y25" s="9" t="str">
        <f>HYPERLINK(_xlfn.CONCAT(Table10[[#This Row],[ParentFolder]],"\",Table10[[#This Row],[FILE_NAME_1]]),Table10[[#This Row],[FILE_NAME_1]])</f>
        <v>Clinical Staffing Agreement - Fastaff LLC.pdf</v>
      </c>
      <c r="Z25" s="9" t="str">
        <f>HYPERLINK(_xlfn.CONCAT(Table10[[#This Row],[ParentFolder]],"\",Table10[[#This Row],[FILE_NAME_2]]),Table10[[#This Row],[FILE_NAME_2]])</f>
        <v>Fastaff Rebates 2024-2025 9.4.xlsx</v>
      </c>
      <c r="AA25" s="9" t="str">
        <f>HYPERLINK(_xlfn.CONCAT(Table10[[#This Row],[ParentFolder]],"\",Table10[[#This Row],[FILE_NAME_3]]),Table10[[#This Row],[FILE_NAME_3]])</f>
        <v>Fastaff Rebates 2024-2025 9.4_20250924143825.xlsx</v>
      </c>
      <c r="AB25" s="9"/>
    </row>
    <row r="26" spans="1:28" x14ac:dyDescent="0.25">
      <c r="A26" s="21">
        <v>88002290</v>
      </c>
      <c r="B26" s="21" t="s">
        <v>280</v>
      </c>
      <c r="C26" s="21" t="s">
        <v>76</v>
      </c>
      <c r="D26" s="21" t="s">
        <v>298</v>
      </c>
      <c r="E26" s="21" t="s">
        <v>282</v>
      </c>
      <c r="F26" s="21" t="s">
        <v>68</v>
      </c>
      <c r="G26" s="21" t="s">
        <v>299</v>
      </c>
      <c r="H26" s="21" t="s">
        <v>952</v>
      </c>
      <c r="I26" s="21" t="s">
        <v>153</v>
      </c>
      <c r="J26" s="21" t="s">
        <v>956</v>
      </c>
      <c r="K26" s="23">
        <v>12723</v>
      </c>
      <c r="L26" s="18">
        <v>0</v>
      </c>
      <c r="M26" s="18">
        <v>0</v>
      </c>
      <c r="N26" s="18">
        <v>0</v>
      </c>
      <c r="O26" s="18">
        <v>0</v>
      </c>
      <c r="P26" s="18">
        <v>12723</v>
      </c>
      <c r="Q26" s="18">
        <v>0</v>
      </c>
      <c r="R26" s="18">
        <v>0</v>
      </c>
      <c r="S26" s="18">
        <v>0</v>
      </c>
      <c r="T26" s="18" t="s">
        <v>211</v>
      </c>
      <c r="U26" s="21" t="s">
        <v>954</v>
      </c>
      <c r="V26" s="21" t="s">
        <v>950</v>
      </c>
      <c r="W26" s="21" t="s">
        <v>957</v>
      </c>
      <c r="X26" s="21"/>
      <c r="Y26" s="9" t="str">
        <f>HYPERLINK(_xlfn.CONCAT(Table10[[#This Row],[ParentFolder]],"\",Table10[[#This Row],[FILE_NAME_1]]),Table10[[#This Row],[FILE_NAME_1]])</f>
        <v>Clinical Staffing Agreement - Fastaff LLC.pdf</v>
      </c>
      <c r="Z26" s="9" t="str">
        <f>HYPERLINK(_xlfn.CONCAT(Table10[[#This Row],[ParentFolder]],"\",Table10[[#This Row],[FILE_NAME_2]]),Table10[[#This Row],[FILE_NAME_2]])</f>
        <v>Fastaff Rebates 2024-2025 9.4.xlsx</v>
      </c>
      <c r="AA26" s="9" t="str">
        <f>HYPERLINK(_xlfn.CONCAT(Table10[[#This Row],[ParentFolder]],"\",Table10[[#This Row],[FILE_NAME_3]]),Table10[[#This Row],[FILE_NAME_3]])</f>
        <v>Fastaff Rebates 2024-2025 9.4_20250924143902.xlsx</v>
      </c>
      <c r="AB26" s="9"/>
    </row>
    <row r="27" spans="1:28" x14ac:dyDescent="0.25">
      <c r="A27" s="21">
        <v>88002291</v>
      </c>
      <c r="B27" s="21" t="s">
        <v>280</v>
      </c>
      <c r="C27" s="21" t="s">
        <v>76</v>
      </c>
      <c r="D27" s="21" t="s">
        <v>298</v>
      </c>
      <c r="E27" s="21" t="s">
        <v>282</v>
      </c>
      <c r="F27" s="21" t="s">
        <v>68</v>
      </c>
      <c r="G27" s="21" t="s">
        <v>299</v>
      </c>
      <c r="H27" s="21" t="s">
        <v>952</v>
      </c>
      <c r="I27" s="21" t="s">
        <v>153</v>
      </c>
      <c r="J27" s="21" t="s">
        <v>958</v>
      </c>
      <c r="K27" s="23">
        <v>361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361</v>
      </c>
      <c r="R27" s="18">
        <v>0</v>
      </c>
      <c r="S27" s="18">
        <v>0</v>
      </c>
      <c r="T27" s="18" t="s">
        <v>211</v>
      </c>
      <c r="U27" s="21" t="s">
        <v>954</v>
      </c>
      <c r="V27" s="21" t="s">
        <v>950</v>
      </c>
      <c r="W27" s="21" t="s">
        <v>959</v>
      </c>
      <c r="X27" s="21"/>
      <c r="Y27" s="9" t="str">
        <f>HYPERLINK(_xlfn.CONCAT(Table10[[#This Row],[ParentFolder]],"\",Table10[[#This Row],[FILE_NAME_1]]),Table10[[#This Row],[FILE_NAME_1]])</f>
        <v>Clinical Staffing Agreement - Fastaff LLC.pdf</v>
      </c>
      <c r="Z27" s="9" t="str">
        <f>HYPERLINK(_xlfn.CONCAT(Table10[[#This Row],[ParentFolder]],"\",Table10[[#This Row],[FILE_NAME_2]]),Table10[[#This Row],[FILE_NAME_2]])</f>
        <v>Fastaff Rebates 2024-2025 9.4.xlsx</v>
      </c>
      <c r="AA27" s="9" t="str">
        <f>HYPERLINK(_xlfn.CONCAT(Table10[[#This Row],[ParentFolder]],"\",Table10[[#This Row],[FILE_NAME_3]]),Table10[[#This Row],[FILE_NAME_3]])</f>
        <v>Fastaff Rebates 2024-2025 9.4_20250924143932.xlsx</v>
      </c>
      <c r="AB27" s="9"/>
    </row>
    <row r="28" spans="1:28" x14ac:dyDescent="0.25">
      <c r="A28" s="21">
        <v>88002292</v>
      </c>
      <c r="B28" s="21" t="s">
        <v>960</v>
      </c>
      <c r="C28" s="21" t="s">
        <v>64</v>
      </c>
      <c r="D28" s="21" t="s">
        <v>643</v>
      </c>
      <c r="E28" s="21" t="s">
        <v>88</v>
      </c>
      <c r="F28" s="21" t="s">
        <v>68</v>
      </c>
      <c r="G28" s="21" t="s">
        <v>230</v>
      </c>
      <c r="H28" s="21" t="s">
        <v>961</v>
      </c>
      <c r="I28" s="21" t="s">
        <v>218</v>
      </c>
      <c r="J28" s="21" t="s">
        <v>960</v>
      </c>
      <c r="K28" s="23">
        <v>193567</v>
      </c>
      <c r="L28" s="18">
        <v>124696</v>
      </c>
      <c r="M28" s="18">
        <v>282</v>
      </c>
      <c r="N28" s="18">
        <v>433</v>
      </c>
      <c r="O28" s="18">
        <v>1475</v>
      </c>
      <c r="P28" s="18">
        <v>5362</v>
      </c>
      <c r="Q28" s="18">
        <v>12331</v>
      </c>
      <c r="R28" s="18">
        <v>13538</v>
      </c>
      <c r="S28" s="18">
        <v>35450</v>
      </c>
      <c r="T28" s="18" t="s">
        <v>211</v>
      </c>
      <c r="U28" s="21" t="s">
        <v>962</v>
      </c>
      <c r="V28" s="21" t="s">
        <v>963</v>
      </c>
      <c r="W28" s="21"/>
      <c r="X28" s="21"/>
      <c r="Y28" s="9" t="str">
        <f>HYPERLINK(_xlfn.CONCAT(Table10[[#This Row],[ParentFolder]],"\",Table10[[#This Row],[FILE_NAME_1]]),Table10[[#This Row],[FILE_NAME_1]])</f>
        <v>BD SCA Rebate Jan2025-June2025 ACH Confirmation 8-18-2025.pdf</v>
      </c>
      <c r="Z28" s="9" t="str">
        <f>HYPERLINK(_xlfn.CONCAT(Table10[[#This Row],[ParentFolder]],"\",Table10[[#This Row],[FILE_NAME_2]]),Table10[[#This Row],[FILE_NAME_2]])</f>
        <v>BD SCA Rebate Jan2025-June2025 Detail.xlsx</v>
      </c>
      <c r="AA28" s="9"/>
      <c r="AB28" s="9"/>
    </row>
    <row r="29" spans="1:28" x14ac:dyDescent="0.25">
      <c r="A29" s="21">
        <v>88002293</v>
      </c>
      <c r="B29" s="21" t="s">
        <v>964</v>
      </c>
      <c r="C29" s="21" t="s">
        <v>76</v>
      </c>
      <c r="D29" s="21" t="s">
        <v>171</v>
      </c>
      <c r="E29" s="21" t="s">
        <v>58</v>
      </c>
      <c r="F29" s="21" t="s">
        <v>68</v>
      </c>
      <c r="G29" s="21" t="s">
        <v>172</v>
      </c>
      <c r="H29" s="21" t="s">
        <v>965</v>
      </c>
      <c r="I29" s="21" t="s">
        <v>218</v>
      </c>
      <c r="J29" s="21" t="s">
        <v>966</v>
      </c>
      <c r="K29" s="23">
        <v>516000</v>
      </c>
      <c r="L29" s="18">
        <v>276000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240000</v>
      </c>
      <c r="T29" s="18" t="s">
        <v>211</v>
      </c>
      <c r="U29" s="21" t="s">
        <v>967</v>
      </c>
      <c r="V29" s="21" t="s">
        <v>968</v>
      </c>
      <c r="W29" s="21" t="s">
        <v>782</v>
      </c>
      <c r="X29" s="21"/>
      <c r="Y29" s="9" t="str">
        <f>HYPERLINK(_xlfn.CONCAT(Table10[[#This Row],[ParentFolder]],"\",Table10[[#This Row],[FILE_NAME_1]]),Table10[[#This Row],[FILE_NAME_1]])</f>
        <v>ACH Confirmation Number.PNG</v>
      </c>
      <c r="Z29" s="9" t="str">
        <f>HYPERLINK(_xlfn.CONCAT(Table10[[#This Row],[ParentFolder]],"\",Table10[[#This Row],[FILE_NAME_2]]),Table10[[#This Row],[FILE_NAME_2]])</f>
        <v>BSCI Watchman Rebate 2025Q2.pdf</v>
      </c>
      <c r="AA29" s="9" t="str">
        <f>HYPERLINK(_xlfn.CONCAT(Table10[[#This Row],[ParentFolder]],"\",Table10[[#This Row],[FILE_NAME_3]]),Table10[[#This Row],[FILE_NAME_3]])</f>
        <v>BSCI Watchman Rebate Contract Info 1.14.25.pdf</v>
      </c>
      <c r="AB29" s="9"/>
    </row>
    <row r="30" spans="1:28" x14ac:dyDescent="0.25">
      <c r="A30" s="21">
        <v>88002294</v>
      </c>
      <c r="B30" s="21" t="s">
        <v>969</v>
      </c>
      <c r="C30" s="21" t="s">
        <v>76</v>
      </c>
      <c r="D30" s="21" t="s">
        <v>70</v>
      </c>
      <c r="E30" s="21" t="s">
        <v>58</v>
      </c>
      <c r="F30" s="21" t="s">
        <v>68</v>
      </c>
      <c r="G30" s="21" t="s">
        <v>67</v>
      </c>
      <c r="H30" s="21" t="s">
        <v>970</v>
      </c>
      <c r="I30" s="21" t="s">
        <v>153</v>
      </c>
      <c r="J30" s="21" t="s">
        <v>971</v>
      </c>
      <c r="K30" s="23">
        <v>145000</v>
      </c>
      <c r="L30" s="18">
        <v>67500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77500</v>
      </c>
      <c r="T30" s="18" t="s">
        <v>211</v>
      </c>
      <c r="U30" s="21" t="s">
        <v>972</v>
      </c>
      <c r="V30" s="21" t="s">
        <v>973</v>
      </c>
      <c r="W30" s="21" t="s">
        <v>809</v>
      </c>
      <c r="X30" s="21" t="s">
        <v>974</v>
      </c>
      <c r="Y30" s="9" t="str">
        <f>HYPERLINK(_xlfn.CONCAT(Table10[[#This Row],[ParentFolder]],"\",Table10[[#This Row],[FILE_NAME_1]]),Table10[[#This Row],[FILE_NAME_1]])</f>
        <v>Edwards TAVR 2025Q2 Check Info.PNG</v>
      </c>
      <c r="Z30" s="9" t="str">
        <f>HYPERLINK(_xlfn.CONCAT(Table10[[#This Row],[ParentFolder]],"\",Table10[[#This Row],[FILE_NAME_2]]),Table10[[#This Row],[FILE_NAME_2]])</f>
        <v>Edwards TAVR Rebate Credit Memo 2025Q2.pdf</v>
      </c>
      <c r="AA30" s="9" t="str">
        <f>HYPERLINK(_xlfn.CONCAT(Table10[[#This Row],[ParentFolder]],"\",Table10[[#This Row],[FILE_NAME_3]]),Table10[[#This Row],[FILE_NAME_3]])</f>
        <v>Edwards TAVR Rebate INFO 3.5.25.pdf</v>
      </c>
      <c r="AB30" s="9" t="str">
        <f>HYPERLINK(_xlfn.CONCAT(Table10[[#This Row],[ParentFolder]],"\",Table10[[#This Row],[FILE_NAME_4]]),Table10[[#This Row],[FILE_NAME_4]])</f>
        <v>Edwards TAVR Rebate MMC 2025Q2.pdf</v>
      </c>
    </row>
    <row r="31" spans="1:28" x14ac:dyDescent="0.25">
      <c r="A31" s="21">
        <v>88002295</v>
      </c>
      <c r="B31" s="21" t="s">
        <v>975</v>
      </c>
      <c r="C31" s="21" t="s">
        <v>76</v>
      </c>
      <c r="D31" s="21" t="s">
        <v>397</v>
      </c>
      <c r="E31" s="21" t="s">
        <v>58</v>
      </c>
      <c r="F31" s="21" t="s">
        <v>68</v>
      </c>
      <c r="G31" s="21" t="s">
        <v>398</v>
      </c>
      <c r="H31" s="21" t="s">
        <v>976</v>
      </c>
      <c r="I31" s="21" t="s">
        <v>266</v>
      </c>
      <c r="J31" s="21" t="s">
        <v>977</v>
      </c>
      <c r="K31" s="23">
        <v>20675</v>
      </c>
      <c r="L31" s="18">
        <v>11625</v>
      </c>
      <c r="M31" s="18">
        <v>0</v>
      </c>
      <c r="N31" s="18">
        <v>0</v>
      </c>
      <c r="O31" s="18">
        <v>0</v>
      </c>
      <c r="P31" s="18">
        <v>0</v>
      </c>
      <c r="Q31" s="18">
        <v>1275</v>
      </c>
      <c r="R31" s="18">
        <v>2575</v>
      </c>
      <c r="S31" s="18">
        <v>5200</v>
      </c>
      <c r="T31" s="18" t="s">
        <v>211</v>
      </c>
      <c r="U31" s="21" t="s">
        <v>978</v>
      </c>
      <c r="V31" s="21" t="s">
        <v>979</v>
      </c>
      <c r="W31" s="21" t="s">
        <v>980</v>
      </c>
      <c r="X31" s="21" t="s">
        <v>981</v>
      </c>
      <c r="Y31" s="9" t="str">
        <f>HYPERLINK(_xlfn.CONCAT(Table10[[#This Row],[ParentFolder]],"\",Table10[[#This Row],[FILE_NAME_1]]),Table10[[#This Row],[FILE_NAME_1]])</f>
        <v>Medtronic DES 2025Q1 Rebate Breakdown 9.24.25.xlsx</v>
      </c>
      <c r="Z31" s="9" t="str">
        <f>HYPERLINK(_xlfn.CONCAT(Table10[[#This Row],[ParentFolder]],"\",Table10[[#This Row],[FILE_NAME_2]]),Table10[[#This Row],[FILE_NAME_2]])</f>
        <v>Medtronic DES MMC and Nyack 2025Q1 Rebate Credit Memo.pdf</v>
      </c>
      <c r="AA31" s="9" t="str">
        <f>HYPERLINK(_xlfn.CONCAT(Table10[[#This Row],[ParentFolder]],"\",Table10[[#This Row],[FILE_NAME_3]]),Table10[[#This Row],[FILE_NAME_3]])</f>
        <v>Medtronic DES St. Lukes 2025Q1 Credit Memo.pdf</v>
      </c>
      <c r="AB31" s="9" t="str">
        <f>HYPERLINK(_xlfn.CONCAT(Table10[[#This Row],[ParentFolder]],"\",Table10[[#This Row],[FILE_NAME_4]]),Table10[[#This Row],[FILE_NAME_4]])</f>
        <v>Medtronic DES WPH 2025Q1 Rebate Credit Memo.pdf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1"/>
  <sheetViews>
    <sheetView workbookViewId="0">
      <selection activeCell="H32" sqref="H32"/>
    </sheetView>
  </sheetViews>
  <sheetFormatPr defaultRowHeight="15" x14ac:dyDescent="0.25"/>
  <cols>
    <col min="1" max="1" width="12.7109375" customWidth="1"/>
    <col min="2" max="2" width="16" customWidth="1"/>
    <col min="3" max="3" width="15.140625" customWidth="1"/>
    <col min="4" max="4" width="18.42578125" customWidth="1"/>
    <col min="5" max="5" width="19.28515625" customWidth="1"/>
    <col min="6" max="6" width="17.5703125" customWidth="1"/>
    <col min="7" max="7" width="15.140625" customWidth="1"/>
    <col min="8" max="8" width="20.5703125" customWidth="1"/>
    <col min="9" max="9" width="15.42578125" customWidth="1"/>
    <col min="10" max="10" width="16.42578125" customWidth="1"/>
    <col min="11" max="11" width="16.7109375" style="18" customWidth="1"/>
    <col min="12" max="12" width="14" customWidth="1"/>
    <col min="13" max="13" width="15.42578125" customWidth="1"/>
    <col min="14" max="14" width="16.140625" customWidth="1"/>
    <col min="15" max="15" width="15.140625" customWidth="1"/>
    <col min="16" max="16" width="14.7109375" customWidth="1"/>
    <col min="17" max="17" width="15.7109375" customWidth="1"/>
    <col min="18" max="18" width="14.42578125" customWidth="1"/>
    <col min="19" max="19" width="13.85546875" customWidth="1"/>
    <col min="20" max="20" width="20.7109375" hidden="1" customWidth="1"/>
    <col min="21" max="21" width="72.28515625" hidden="1" customWidth="1"/>
    <col min="22" max="22" width="88.42578125" hidden="1" customWidth="1"/>
    <col min="23" max="23" width="62.42578125" hidden="1" customWidth="1"/>
    <col min="24" max="24" width="72.28515625" bestFit="1" customWidth="1"/>
    <col min="25" max="25" width="88.42578125" bestFit="1" customWidth="1"/>
    <col min="26" max="26" width="62.42578125" bestFit="1" customWidth="1"/>
  </cols>
  <sheetData>
    <row r="1" spans="1:26" x14ac:dyDescent="0.25">
      <c r="A1" s="21" t="s">
        <v>0</v>
      </c>
      <c r="B1" s="21" t="s">
        <v>115</v>
      </c>
      <c r="C1" s="21" t="s">
        <v>116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18" t="s">
        <v>124</v>
      </c>
      <c r="L1" s="21" t="s">
        <v>125</v>
      </c>
      <c r="M1" s="21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132</v>
      </c>
      <c r="T1" s="22" t="s">
        <v>336</v>
      </c>
      <c r="U1" s="21" t="s">
        <v>201</v>
      </c>
      <c r="V1" s="21" t="s">
        <v>202</v>
      </c>
      <c r="W1" s="21" t="s">
        <v>203</v>
      </c>
      <c r="X1" s="21" t="s">
        <v>204</v>
      </c>
      <c r="Y1" s="21" t="s">
        <v>205</v>
      </c>
      <c r="Z1" s="21" t="s">
        <v>206</v>
      </c>
    </row>
    <row r="2" spans="1:26" x14ac:dyDescent="0.25">
      <c r="A2" s="21">
        <v>88002244</v>
      </c>
      <c r="B2" s="21" t="s">
        <v>801</v>
      </c>
      <c r="C2" s="21" t="s">
        <v>64</v>
      </c>
      <c r="D2" s="21" t="s">
        <v>802</v>
      </c>
      <c r="E2" s="21" t="s">
        <v>88</v>
      </c>
      <c r="F2" s="21" t="s">
        <v>68</v>
      </c>
      <c r="G2" s="21" t="s">
        <v>91</v>
      </c>
      <c r="H2" s="21" t="s">
        <v>803</v>
      </c>
      <c r="I2" s="21" t="s">
        <v>218</v>
      </c>
      <c r="J2" s="21" t="s">
        <v>804</v>
      </c>
      <c r="K2" s="18">
        <v>8551</v>
      </c>
      <c r="L2" s="21">
        <v>8551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18" t="s">
        <v>211</v>
      </c>
      <c r="U2" s="21" t="s">
        <v>805</v>
      </c>
      <c r="V2" s="21"/>
      <c r="W2" s="21"/>
      <c r="X2" s="9" t="str">
        <f>HYPERLINK(_xlfn.CONCAT(Table9[[#This Row],[ParentFolder]],"\",Table9[[#This Row],[FILE_NAME_1]]),Table9[[#This Row],[FILE_NAME_1]])</f>
        <v>Medline Collection Rebate Q4-2024 and Q1-2025.xlsx</v>
      </c>
      <c r="Y2" s="9"/>
      <c r="Z2" s="9"/>
    </row>
    <row r="3" spans="1:26" x14ac:dyDescent="0.25">
      <c r="A3" s="21">
        <v>88002246</v>
      </c>
      <c r="B3" s="21" t="s">
        <v>806</v>
      </c>
      <c r="C3" s="21" t="s">
        <v>76</v>
      </c>
      <c r="D3" s="21" t="s">
        <v>70</v>
      </c>
      <c r="E3" s="21" t="s">
        <v>58</v>
      </c>
      <c r="F3" s="21" t="s">
        <v>68</v>
      </c>
      <c r="G3" s="21" t="s">
        <v>67</v>
      </c>
      <c r="H3" s="21" t="s">
        <v>807</v>
      </c>
      <c r="I3" s="21" t="s">
        <v>266</v>
      </c>
      <c r="J3" s="21" t="s">
        <v>808</v>
      </c>
      <c r="K3" s="18">
        <v>105000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105000</v>
      </c>
      <c r="T3" s="18" t="s">
        <v>211</v>
      </c>
      <c r="U3" s="21" t="s">
        <v>809</v>
      </c>
      <c r="V3" s="21" t="s">
        <v>810</v>
      </c>
      <c r="W3" s="21"/>
      <c r="X3" s="9" t="str">
        <f>HYPERLINK(_xlfn.CONCAT(Table9[[#This Row],[ParentFolder]],"\",Table9[[#This Row],[FILE_NAME_1]]),Table9[[#This Row],[FILE_NAME_1]])</f>
        <v>Edwards TAVR Rebate INFO 3.5.25.pdf</v>
      </c>
      <c r="Y3" s="9" t="str">
        <f>HYPERLINK(_xlfn.CONCAT(Table9[[#This Row],[ParentFolder]],"\",Table9[[#This Row],[FILE_NAME_2]]),Table9[[#This Row],[FILE_NAME_2]])</f>
        <v>Edwards TAVR WHITE PLAINS HOSP ASSOC_Q1_2025_Quarterly Achieved Rebate with Credit Memo.pdf</v>
      </c>
      <c r="Z3" s="9"/>
    </row>
    <row r="4" spans="1:26" x14ac:dyDescent="0.25">
      <c r="A4" s="21">
        <v>88002247</v>
      </c>
      <c r="B4" s="21" t="s">
        <v>811</v>
      </c>
      <c r="C4" s="21" t="s">
        <v>76</v>
      </c>
      <c r="D4" s="21" t="s">
        <v>439</v>
      </c>
      <c r="E4" s="21" t="s">
        <v>58</v>
      </c>
      <c r="F4" s="21" t="s">
        <v>68</v>
      </c>
      <c r="G4" s="21" t="s">
        <v>172</v>
      </c>
      <c r="H4" s="21" t="s">
        <v>812</v>
      </c>
      <c r="I4" s="21" t="s">
        <v>266</v>
      </c>
      <c r="J4" s="21" t="s">
        <v>813</v>
      </c>
      <c r="K4" s="18">
        <v>252000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252000</v>
      </c>
      <c r="T4" s="18" t="s">
        <v>211</v>
      </c>
      <c r="U4" s="21" t="s">
        <v>441</v>
      </c>
      <c r="V4" s="21" t="s">
        <v>814</v>
      </c>
      <c r="W4" s="21"/>
      <c r="X4" s="9" t="str">
        <f>HYPERLINK(_xlfn.CONCAT(Table9[[#This Row],[ParentFolder]],"\",Table9[[#This Row],[FILE_NAME_1]]),Table9[[#This Row],[FILE_NAME_1]])</f>
        <v>Farapulse Rebate Information 12.11.24.pdf</v>
      </c>
      <c r="Y4" s="9" t="str">
        <f>HYPERLINK(_xlfn.CONCAT(Table9[[#This Row],[ParentFolder]],"\",Table9[[#This Row],[FILE_NAME_2]]),Table9[[#This Row],[FILE_NAME_2]])</f>
        <v>WPH BSCI PFA Rebate Credit Memo 2025Q1.pdf</v>
      </c>
      <c r="Z4" s="9"/>
    </row>
    <row r="5" spans="1:26" x14ac:dyDescent="0.25">
      <c r="A5" s="21">
        <v>88002248</v>
      </c>
      <c r="B5" s="21" t="s">
        <v>815</v>
      </c>
      <c r="C5" s="21" t="s">
        <v>76</v>
      </c>
      <c r="D5" s="21" t="s">
        <v>439</v>
      </c>
      <c r="E5" s="21" t="s">
        <v>58</v>
      </c>
      <c r="F5" s="21" t="s">
        <v>68</v>
      </c>
      <c r="G5" s="21" t="s">
        <v>172</v>
      </c>
      <c r="H5" s="21" t="s">
        <v>816</v>
      </c>
      <c r="I5" s="21" t="s">
        <v>266</v>
      </c>
      <c r="J5" s="21" t="s">
        <v>817</v>
      </c>
      <c r="K5" s="18">
        <v>206000</v>
      </c>
      <c r="L5" s="21">
        <v>206000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18" t="s">
        <v>211</v>
      </c>
      <c r="U5" s="21" t="s">
        <v>441</v>
      </c>
      <c r="V5" s="21" t="s">
        <v>818</v>
      </c>
      <c r="W5" s="21"/>
      <c r="X5" s="9" t="str">
        <f>HYPERLINK(_xlfn.CONCAT(Table9[[#This Row],[ParentFolder]],"\",Table9[[#This Row],[FILE_NAME_1]]),Table9[[#This Row],[FILE_NAME_1]])</f>
        <v>Farapulse Rebate Information 12.11.24.pdf</v>
      </c>
      <c r="Y5" s="9" t="str">
        <f>HYPERLINK(_xlfn.CONCAT(Table9[[#This Row],[ParentFolder]],"\",Table9[[#This Row],[FILE_NAME_2]]),Table9[[#This Row],[FILE_NAME_2]])</f>
        <v>MMC BSCI Farapulse Rebate 2025Q1.pdf</v>
      </c>
      <c r="Z5" s="9"/>
    </row>
    <row r="6" spans="1:26" x14ac:dyDescent="0.25">
      <c r="A6" s="21">
        <v>88002249</v>
      </c>
      <c r="B6" s="21" t="s">
        <v>819</v>
      </c>
      <c r="C6" s="21" t="s">
        <v>64</v>
      </c>
      <c r="D6" s="21" t="s">
        <v>135</v>
      </c>
      <c r="E6" s="21" t="s">
        <v>242</v>
      </c>
      <c r="F6" s="21" t="s">
        <v>102</v>
      </c>
      <c r="G6" s="21" t="s">
        <v>137</v>
      </c>
      <c r="H6" s="21" t="s">
        <v>820</v>
      </c>
      <c r="I6" s="21" t="s">
        <v>218</v>
      </c>
      <c r="J6" s="21" t="s">
        <v>821</v>
      </c>
      <c r="K6" s="18">
        <v>1700706</v>
      </c>
      <c r="L6" s="21">
        <v>1607896</v>
      </c>
      <c r="M6" s="21">
        <v>0</v>
      </c>
      <c r="N6" s="21">
        <v>82215</v>
      </c>
      <c r="O6" s="21">
        <v>312</v>
      </c>
      <c r="P6" s="21">
        <v>415</v>
      </c>
      <c r="Q6" s="21">
        <v>9868</v>
      </c>
      <c r="R6" s="21">
        <v>0</v>
      </c>
      <c r="S6" s="21">
        <v>0</v>
      </c>
      <c r="T6" s="18" t="s">
        <v>211</v>
      </c>
      <c r="U6" s="21" t="s">
        <v>822</v>
      </c>
      <c r="V6" s="21"/>
      <c r="W6" s="21"/>
      <c r="X6" s="9" t="str">
        <f>HYPERLINK(_xlfn.CONCAT(Table9[[#This Row],[ParentFolder]],"\",Table9[[#This Row],[FILE_NAME_1]]),Table9[[#This Row],[FILE_NAME_1]])</f>
        <v>Copy of MONTEFIORE MEDICINE ACADEMIC HEALTH SYSTEM INC. 759714 - 1Q25.xlsx</v>
      </c>
      <c r="Y6" s="9"/>
      <c r="Z6" s="9"/>
    </row>
    <row r="7" spans="1:26" x14ac:dyDescent="0.25">
      <c r="A7" s="21">
        <v>88002250</v>
      </c>
      <c r="B7" s="21" t="s">
        <v>823</v>
      </c>
      <c r="C7" s="21" t="s">
        <v>76</v>
      </c>
      <c r="D7" s="21" t="s">
        <v>99</v>
      </c>
      <c r="E7" s="21" t="s">
        <v>242</v>
      </c>
      <c r="F7" s="21" t="s">
        <v>102</v>
      </c>
      <c r="G7" s="21" t="s">
        <v>77</v>
      </c>
      <c r="H7" s="21" t="s">
        <v>824</v>
      </c>
      <c r="I7" s="21" t="s">
        <v>218</v>
      </c>
      <c r="J7" s="21" t="s">
        <v>825</v>
      </c>
      <c r="K7" s="18">
        <v>11857</v>
      </c>
      <c r="L7" s="21">
        <v>10003</v>
      </c>
      <c r="M7" s="21">
        <v>0</v>
      </c>
      <c r="N7" s="21">
        <v>0</v>
      </c>
      <c r="O7" s="21">
        <v>451</v>
      </c>
      <c r="P7" s="21">
        <v>1403</v>
      </c>
      <c r="Q7" s="21">
        <v>0</v>
      </c>
      <c r="R7" s="21">
        <v>0</v>
      </c>
      <c r="S7" s="21">
        <v>0</v>
      </c>
      <c r="T7" s="18" t="s">
        <v>211</v>
      </c>
      <c r="U7" s="21" t="s">
        <v>826</v>
      </c>
      <c r="V7" s="21"/>
      <c r="W7" s="21"/>
      <c r="X7" s="9" t="str">
        <f>HYPERLINK(_xlfn.CONCAT(Table9[[#This Row],[ParentFolder]],"\",Table9[[#This Row],[FILE_NAME_1]]),Table9[[#This Row],[FILE_NAME_1]])</f>
        <v>1Q25_HHUTCHIN@montefiore.org_Food Services.pdf</v>
      </c>
      <c r="Y7" s="9"/>
      <c r="Z7" s="9"/>
    </row>
    <row r="8" spans="1:26" x14ac:dyDescent="0.25">
      <c r="A8" s="21">
        <v>88002251</v>
      </c>
      <c r="B8" s="21" t="s">
        <v>827</v>
      </c>
      <c r="C8" s="21" t="s">
        <v>76</v>
      </c>
      <c r="D8" s="21" t="s">
        <v>259</v>
      </c>
      <c r="E8" s="21" t="s">
        <v>58</v>
      </c>
      <c r="F8" s="21" t="s">
        <v>68</v>
      </c>
      <c r="G8" s="21" t="s">
        <v>114</v>
      </c>
      <c r="H8" s="21" t="s">
        <v>828</v>
      </c>
      <c r="I8" s="21" t="s">
        <v>218</v>
      </c>
      <c r="J8" s="21" t="s">
        <v>829</v>
      </c>
      <c r="K8" s="18">
        <v>2987</v>
      </c>
      <c r="L8" s="21">
        <v>2131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856</v>
      </c>
      <c r="T8" s="18" t="s">
        <v>211</v>
      </c>
      <c r="U8" s="21" t="s">
        <v>830</v>
      </c>
      <c r="V8" s="21" t="s">
        <v>831</v>
      </c>
      <c r="W8" s="21"/>
      <c r="X8" s="9" t="str">
        <f>HYPERLINK(_xlfn.CONCAT(Table9[[#This Row],[ParentFolder]],"\",Table9[[#This Row],[FILE_NAME_1]]),Table9[[#This Row],[FILE_NAME_1]])</f>
        <v>Biosense Webster EP Platinum Tip Recycling Program Agmt..pdf</v>
      </c>
      <c r="Y8" s="9" t="str">
        <f>HYPERLINK(_xlfn.CONCAT(Table9[[#This Row],[ParentFolder]],"\",Table9[[#This Row],[FILE_NAME_2]]),Table9[[#This Row],[FILE_NAME_2]])</f>
        <v>Biosense Webster Platinum Rebate 2025Q1 7.1.25.pdf</v>
      </c>
      <c r="Z8" s="9"/>
    </row>
    <row r="9" spans="1:26" x14ac:dyDescent="0.25">
      <c r="A9" s="21">
        <v>88002252</v>
      </c>
      <c r="B9" s="21" t="s">
        <v>832</v>
      </c>
      <c r="C9" s="21" t="s">
        <v>76</v>
      </c>
      <c r="D9" s="21" t="s">
        <v>112</v>
      </c>
      <c r="E9" s="21" t="s">
        <v>58</v>
      </c>
      <c r="F9" s="21" t="s">
        <v>68</v>
      </c>
      <c r="G9" s="21" t="s">
        <v>114</v>
      </c>
      <c r="H9" s="21" t="s">
        <v>833</v>
      </c>
      <c r="I9" s="21" t="s">
        <v>218</v>
      </c>
      <c r="J9" s="21" t="s">
        <v>834</v>
      </c>
      <c r="K9" s="18">
        <v>33200</v>
      </c>
      <c r="L9" s="21">
        <v>20100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13100</v>
      </c>
      <c r="T9" s="18" t="s">
        <v>211</v>
      </c>
      <c r="U9" s="21" t="s">
        <v>835</v>
      </c>
      <c r="V9" s="21" t="s">
        <v>836</v>
      </c>
      <c r="W9" s="21" t="s">
        <v>837</v>
      </c>
      <c r="X9" s="9" t="str">
        <f>HYPERLINK(_xlfn.CONCAT(Table9[[#This Row],[ParentFolder]],"\",Table9[[#This Row],[FILE_NAME_1]]),Table9[[#This Row],[FILE_NAME_1]])</f>
        <v>Biosense Webster Buyback ACH payment Confirmation 2025Q1 7.1.25.pdf</v>
      </c>
      <c r="Y9" s="9" t="str">
        <f>HYPERLINK(_xlfn.CONCAT(Table9[[#This Row],[ParentFolder]],"\",Table9[[#This Row],[FILE_NAME_2]]),Table9[[#This Row],[FILE_NAME_2]])</f>
        <v>Biosense Webster EP Catheter Buyback Contract.pdf</v>
      </c>
      <c r="Z9" s="9" t="str">
        <f>HYPERLINK(_xlfn.CONCAT(Table9[[#This Row],[ParentFolder]],"\",Table9[[#This Row],[FILE_NAME_3]]),Table9[[#This Row],[FILE_NAME_3]])</f>
        <v>BWI Buyback 2025Q1 Facility Breakdown.xlsx</v>
      </c>
    </row>
    <row r="10" spans="1:26" x14ac:dyDescent="0.25">
      <c r="A10" s="21">
        <v>88002255</v>
      </c>
      <c r="B10" s="21" t="s">
        <v>838</v>
      </c>
      <c r="C10" s="21" t="s">
        <v>76</v>
      </c>
      <c r="D10" s="21" t="s">
        <v>70</v>
      </c>
      <c r="E10" s="21" t="s">
        <v>58</v>
      </c>
      <c r="F10" s="21" t="s">
        <v>68</v>
      </c>
      <c r="G10" s="21" t="s">
        <v>67</v>
      </c>
      <c r="H10" s="21" t="s">
        <v>803</v>
      </c>
      <c r="I10" s="21" t="s">
        <v>218</v>
      </c>
      <c r="J10" s="21" t="s">
        <v>839</v>
      </c>
      <c r="K10" s="18">
        <v>90000</v>
      </c>
      <c r="L10" s="21">
        <v>90000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18" t="s">
        <v>211</v>
      </c>
      <c r="U10" s="21" t="s">
        <v>840</v>
      </c>
      <c r="V10" s="21" t="s">
        <v>809</v>
      </c>
      <c r="W10" s="21" t="s">
        <v>841</v>
      </c>
      <c r="X10" s="9" t="str">
        <f>HYPERLINK(_xlfn.CONCAT(Table9[[#This Row],[ParentFolder]],"\",Table9[[#This Row],[FILE_NAME_1]]),Table9[[#This Row],[FILE_NAME_1]])</f>
        <v>Edwards TAVR Rebate 2025Q1 MMC 532281.pdf</v>
      </c>
      <c r="Y10" s="9" t="str">
        <f>HYPERLINK(_xlfn.CONCAT(Table9[[#This Row],[ParentFolder]],"\",Table9[[#This Row],[FILE_NAME_2]]),Table9[[#This Row],[FILE_NAME_2]])</f>
        <v>Edwards TAVR Rebate INFO 3.5.25.pdf</v>
      </c>
      <c r="Z10" s="9" t="str">
        <f>HYPERLINK(_xlfn.CONCAT(Table9[[#This Row],[ParentFolder]],"\",Table9[[#This Row],[FILE_NAME_3]]),Table9[[#This Row],[FILE_NAME_3]])</f>
        <v>MONTEFIORE MEDICAL CENTER Edwards TAVR Rebate Letter 2025Q1.pdf</v>
      </c>
    </row>
    <row r="11" spans="1:26" x14ac:dyDescent="0.25">
      <c r="A11" s="21">
        <v>88002256</v>
      </c>
      <c r="B11" s="21" t="s">
        <v>842</v>
      </c>
      <c r="C11" s="21" t="s">
        <v>76</v>
      </c>
      <c r="D11" s="21" t="s">
        <v>151</v>
      </c>
      <c r="E11" s="21" t="s">
        <v>58</v>
      </c>
      <c r="F11" s="21" t="s">
        <v>68</v>
      </c>
      <c r="G11" s="21" t="s">
        <v>152</v>
      </c>
      <c r="H11" s="21" t="s">
        <v>824</v>
      </c>
      <c r="I11" s="21" t="s">
        <v>153</v>
      </c>
      <c r="J11" s="21" t="s">
        <v>843</v>
      </c>
      <c r="K11" s="18">
        <v>99266</v>
      </c>
      <c r="L11" s="21">
        <v>52163</v>
      </c>
      <c r="M11" s="21">
        <v>0</v>
      </c>
      <c r="N11" s="21">
        <v>0</v>
      </c>
      <c r="O11" s="21">
        <v>418</v>
      </c>
      <c r="P11" s="21">
        <v>880</v>
      </c>
      <c r="Q11" s="21">
        <v>4168</v>
      </c>
      <c r="R11" s="21">
        <v>8211</v>
      </c>
      <c r="S11" s="21">
        <v>33426</v>
      </c>
      <c r="T11" s="18" t="s">
        <v>211</v>
      </c>
      <c r="U11" s="21" t="s">
        <v>844</v>
      </c>
      <c r="V11" s="21" t="s">
        <v>845</v>
      </c>
      <c r="W11" s="21"/>
      <c r="X11" s="9" t="str">
        <f>HYPERLINK(_xlfn.CONCAT(Table9[[#This Row],[ParentFolder]],"\",Table9[[#This Row],[FILE_NAME_1]]),Table9[[#This Row],[FILE_NAME_1]])</f>
        <v>MHS Terumo Growth and Loyalty Rebate 2024 to 2025 7.15.25.xlsm</v>
      </c>
      <c r="Y11" s="9" t="str">
        <f>HYPERLINK(_xlfn.CONCAT(Table9[[#This Row],[ParentFolder]],"\",Table9[[#This Row],[FILE_NAME_2]]),Table9[[#This Row],[FILE_NAME_2]])</f>
        <v>Terumo Growth and Loyalty Rebate Check 6.25.25.pdf</v>
      </c>
      <c r="Z11" s="9"/>
    </row>
    <row r="12" spans="1:26" x14ac:dyDescent="0.25">
      <c r="A12" s="21">
        <v>88002257</v>
      </c>
      <c r="B12" s="21" t="s">
        <v>823</v>
      </c>
      <c r="C12" s="21" t="s">
        <v>76</v>
      </c>
      <c r="D12" s="21" t="s">
        <v>99</v>
      </c>
      <c r="E12" s="21" t="s">
        <v>242</v>
      </c>
      <c r="F12" s="21" t="s">
        <v>102</v>
      </c>
      <c r="G12" s="21" t="s">
        <v>77</v>
      </c>
      <c r="H12" s="21" t="s">
        <v>846</v>
      </c>
      <c r="I12" s="21" t="s">
        <v>153</v>
      </c>
      <c r="J12" s="21" t="s">
        <v>847</v>
      </c>
      <c r="K12" s="18">
        <v>47644</v>
      </c>
      <c r="L12" s="21">
        <v>47644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18" t="s">
        <v>211</v>
      </c>
      <c r="U12" s="21" t="s">
        <v>848</v>
      </c>
      <c r="V12" s="21"/>
      <c r="W12" s="21"/>
      <c r="X12" s="9" t="str">
        <f>HYPERLINK(_xlfn.CONCAT(Table9[[#This Row],[ParentFolder]],"\",Table9[[#This Row],[FILE_NAME_1]]),Table9[[#This Row],[FILE_NAME_1]])</f>
        <v>scan_ctrinidad_2025-07-14-10-44-28.pdf</v>
      </c>
      <c r="Y12" s="9"/>
      <c r="Z12" s="9"/>
    </row>
    <row r="19" spans="14:14" x14ac:dyDescent="0.25">
      <c r="N19" s="18"/>
    </row>
    <row r="21" spans="14:14" x14ac:dyDescent="0.25">
      <c r="N21" s="20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8101-6FDA-4A0F-8F33-E233A15AFB71}">
  <dimension ref="A1:AB23"/>
  <sheetViews>
    <sheetView workbookViewId="0">
      <selection activeCell="C36" sqref="C36"/>
    </sheetView>
  </sheetViews>
  <sheetFormatPr defaultRowHeight="15" x14ac:dyDescent="0.25"/>
  <cols>
    <col min="1" max="1" width="13.140625" customWidth="1"/>
    <col min="2" max="2" width="16.5703125" customWidth="1"/>
    <col min="3" max="3" width="15.7109375" customWidth="1"/>
    <col min="4" max="4" width="19.140625" customWidth="1"/>
    <col min="5" max="5" width="20" customWidth="1"/>
    <col min="6" max="6" width="9.85546875" customWidth="1"/>
    <col min="7" max="7" width="15.7109375" customWidth="1"/>
    <col min="8" max="8" width="21.28515625" customWidth="1"/>
    <col min="9" max="9" width="23.42578125" customWidth="1"/>
    <col min="10" max="10" width="17" customWidth="1"/>
    <col min="11" max="11" width="17.28515625" customWidth="1"/>
    <col min="12" max="12" width="14.5703125" customWidth="1"/>
    <col min="13" max="13" width="16" customWidth="1"/>
    <col min="14" max="14" width="16.7109375" customWidth="1"/>
    <col min="15" max="15" width="15.7109375" customWidth="1"/>
    <col min="16" max="16" width="15.28515625" customWidth="1"/>
    <col min="17" max="17" width="16.28515625" customWidth="1"/>
    <col min="18" max="18" width="15" customWidth="1"/>
    <col min="19" max="19" width="14.42578125" customWidth="1"/>
    <col min="20" max="20" width="21.42578125" customWidth="1"/>
    <col min="21" max="21" width="30.42578125" customWidth="1"/>
    <col min="22" max="22" width="81.140625" bestFit="1" customWidth="1"/>
    <col min="23" max="23" width="31.140625" hidden="1" customWidth="1"/>
    <col min="24" max="24" width="70.5703125" bestFit="1" customWidth="1"/>
    <col min="25" max="25" width="16" hidden="1" customWidth="1"/>
    <col min="26" max="26" width="39.28515625" bestFit="1" customWidth="1"/>
    <col min="27" max="27" width="40.85546875" hidden="1" customWidth="1"/>
    <col min="28" max="28" width="40.85546875" bestFit="1" customWidth="1"/>
    <col min="30" max="32" width="14.28515625" customWidth="1"/>
  </cols>
  <sheetData>
    <row r="1" spans="1:28" x14ac:dyDescent="0.25">
      <c r="A1" s="22" t="s">
        <v>0</v>
      </c>
      <c r="B1" s="22" t="s">
        <v>115</v>
      </c>
      <c r="C1" s="22" t="s">
        <v>116</v>
      </c>
      <c r="D1" s="22" t="s">
        <v>117</v>
      </c>
      <c r="E1" s="22" t="s">
        <v>118</v>
      </c>
      <c r="F1" s="22" t="s">
        <v>119</v>
      </c>
      <c r="G1" s="22" t="s">
        <v>120</v>
      </c>
      <c r="H1" s="22" t="s">
        <v>121</v>
      </c>
      <c r="I1" s="22" t="s">
        <v>122</v>
      </c>
      <c r="J1" s="22" t="s">
        <v>123</v>
      </c>
      <c r="K1" s="22" t="s">
        <v>124</v>
      </c>
      <c r="L1" s="22" t="s">
        <v>125</v>
      </c>
      <c r="M1" s="22" t="s">
        <v>126</v>
      </c>
      <c r="N1" s="22" t="s">
        <v>127</v>
      </c>
      <c r="O1" s="22" t="s">
        <v>128</v>
      </c>
      <c r="P1" s="22" t="s">
        <v>129</v>
      </c>
      <c r="Q1" s="22" t="s">
        <v>130</v>
      </c>
      <c r="R1" s="22" t="s">
        <v>131</v>
      </c>
      <c r="S1" s="22" t="s">
        <v>132</v>
      </c>
      <c r="T1" s="18" t="s">
        <v>200</v>
      </c>
      <c r="U1" s="22" t="s">
        <v>201</v>
      </c>
      <c r="V1" s="22" t="s">
        <v>204</v>
      </c>
      <c r="W1" s="22" t="s">
        <v>202</v>
      </c>
      <c r="X1" s="22" t="s">
        <v>205</v>
      </c>
      <c r="Y1" s="22" t="s">
        <v>203</v>
      </c>
      <c r="Z1" s="22" t="s">
        <v>206</v>
      </c>
      <c r="AA1" s="22" t="s">
        <v>374</v>
      </c>
      <c r="AB1" s="22" t="s">
        <v>373</v>
      </c>
    </row>
    <row r="2" spans="1:28" x14ac:dyDescent="0.25">
      <c r="A2" s="22">
        <v>88002227</v>
      </c>
      <c r="B2" s="22" t="s">
        <v>742</v>
      </c>
      <c r="C2" s="22" t="s">
        <v>76</v>
      </c>
      <c r="D2" s="22" t="s">
        <v>420</v>
      </c>
      <c r="E2" s="22" t="s">
        <v>58</v>
      </c>
      <c r="F2" s="22" t="s">
        <v>68</v>
      </c>
      <c r="G2" s="22" t="s">
        <v>421</v>
      </c>
      <c r="H2" s="22" t="s">
        <v>743</v>
      </c>
      <c r="I2" s="22" t="s">
        <v>266</v>
      </c>
      <c r="J2" s="22" t="s">
        <v>744</v>
      </c>
      <c r="K2" s="23">
        <v>3000</v>
      </c>
      <c r="L2" s="18">
        <v>3000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 t="s">
        <v>211</v>
      </c>
      <c r="U2" s="22" t="s">
        <v>745</v>
      </c>
      <c r="V2" s="9" t="str">
        <f>HYPERLINK(_xlfn.CONCAT(Table910[[#This Row],[Parent]],Table910[[#This Row],[FILE_NAME_1]]),Table910[[#This Row],[FILE_NAME_1]])</f>
        <v>Abbott Triclip Amendment.pdf</v>
      </c>
      <c r="W2" s="22" t="s">
        <v>746</v>
      </c>
      <c r="X2" s="9" t="str">
        <f>HYPERLINK(_xlfn.CONCAT(Table910[[#This Row],[Parent]],Table910[[#This Row],[FILE_NAME_2]]),Table910[[#This Row],[FILE_NAME_2]])</f>
        <v>Montefiore LTR Q4.24 TriClip Credit Memo and rebate breakdown.pdf</v>
      </c>
      <c r="Y2" s="22"/>
      <c r="Z2" s="9"/>
      <c r="AA2" s="22"/>
      <c r="AB2" s="9"/>
    </row>
    <row r="3" spans="1:28" x14ac:dyDescent="0.25">
      <c r="A3" s="22">
        <v>88002228</v>
      </c>
      <c r="B3" s="22" t="s">
        <v>747</v>
      </c>
      <c r="C3" s="22" t="s">
        <v>76</v>
      </c>
      <c r="D3" s="22" t="s">
        <v>420</v>
      </c>
      <c r="E3" s="22" t="s">
        <v>58</v>
      </c>
      <c r="F3" s="22" t="s">
        <v>68</v>
      </c>
      <c r="G3" s="22" t="s">
        <v>421</v>
      </c>
      <c r="H3" s="22" t="s">
        <v>748</v>
      </c>
      <c r="I3" s="22" t="s">
        <v>266</v>
      </c>
      <c r="J3" s="22" t="s">
        <v>749</v>
      </c>
      <c r="K3" s="23">
        <v>24000</v>
      </c>
      <c r="L3" s="18">
        <v>24000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 t="s">
        <v>211</v>
      </c>
      <c r="U3" s="22" t="s">
        <v>745</v>
      </c>
      <c r="V3" s="9" t="str">
        <f>HYPERLINK(_xlfn.CONCAT(Table910[[#This Row],[Parent]],Table910[[#This Row],[FILE_NAME_1]]),Table910[[#This Row],[FILE_NAME_1]])</f>
        <v>Abbott Triclip Amendment.pdf</v>
      </c>
      <c r="W3" s="22" t="s">
        <v>750</v>
      </c>
      <c r="X3" s="9" t="str">
        <f>HYPERLINK(_xlfn.CONCAT(Table910[[#This Row],[Parent]],Table910[[#This Row],[FILE_NAME_2]]),Table910[[#This Row],[FILE_NAME_2]])</f>
        <v>TriClip Credit Memo 2025Q1.pdf</v>
      </c>
      <c r="Y3" s="22"/>
      <c r="Z3" s="9"/>
      <c r="AA3" s="22"/>
      <c r="AB3" s="9"/>
    </row>
    <row r="4" spans="1:28" x14ac:dyDescent="0.25">
      <c r="A4" s="22">
        <v>88002230</v>
      </c>
      <c r="B4" s="22" t="s">
        <v>751</v>
      </c>
      <c r="C4" s="22" t="s">
        <v>64</v>
      </c>
      <c r="D4" s="22" t="s">
        <v>183</v>
      </c>
      <c r="E4" s="22" t="s">
        <v>136</v>
      </c>
      <c r="F4" s="22" t="s">
        <v>102</v>
      </c>
      <c r="G4" s="22" t="s">
        <v>137</v>
      </c>
      <c r="H4" s="22" t="s">
        <v>752</v>
      </c>
      <c r="I4" s="22" t="s">
        <v>218</v>
      </c>
      <c r="J4" s="22" t="s">
        <v>753</v>
      </c>
      <c r="K4" s="23">
        <v>234207</v>
      </c>
      <c r="L4" s="18">
        <v>36403</v>
      </c>
      <c r="M4" s="18">
        <v>244</v>
      </c>
      <c r="N4" s="18">
        <v>0</v>
      </c>
      <c r="O4" s="18">
        <v>409</v>
      </c>
      <c r="P4" s="18">
        <v>1631</v>
      </c>
      <c r="Q4" s="18">
        <v>1451</v>
      </c>
      <c r="R4" s="18">
        <v>1240</v>
      </c>
      <c r="S4" s="18">
        <v>192829</v>
      </c>
      <c r="T4" s="18" t="s">
        <v>211</v>
      </c>
      <c r="U4" s="22" t="s">
        <v>754</v>
      </c>
      <c r="V4" s="9" t="str">
        <f>HYPERLINK(_xlfn.CONCAT(Table910[[#This Row],[Parent]],Table910[[#This Row],[FILE_NAME_1]]),Table910[[#This Row],[FILE_NAME_1]])</f>
        <v>Q1 2025 Premier-  Rebates Paid  .xlsx</v>
      </c>
      <c r="W4" s="22"/>
      <c r="X4" s="9"/>
      <c r="Y4" s="22"/>
      <c r="Z4" s="9"/>
      <c r="AA4" s="22"/>
      <c r="AB4" s="9"/>
    </row>
    <row r="5" spans="1:28" x14ac:dyDescent="0.25">
      <c r="A5" s="22">
        <v>88002231</v>
      </c>
      <c r="B5" s="22" t="s">
        <v>755</v>
      </c>
      <c r="C5" s="22" t="s">
        <v>352</v>
      </c>
      <c r="D5" s="22" t="s">
        <v>353</v>
      </c>
      <c r="E5" s="22" t="s">
        <v>136</v>
      </c>
      <c r="F5" s="22" t="s">
        <v>68</v>
      </c>
      <c r="G5" s="22" t="s">
        <v>354</v>
      </c>
      <c r="H5" s="22" t="s">
        <v>756</v>
      </c>
      <c r="I5" s="22" t="s">
        <v>218</v>
      </c>
      <c r="J5" s="22" t="s">
        <v>757</v>
      </c>
      <c r="K5" s="23">
        <v>311400</v>
      </c>
      <c r="L5" s="18">
        <v>230293</v>
      </c>
      <c r="M5" s="18">
        <v>8616</v>
      </c>
      <c r="N5" s="18">
        <v>430</v>
      </c>
      <c r="O5" s="18">
        <v>6261</v>
      </c>
      <c r="P5" s="18">
        <v>5448</v>
      </c>
      <c r="Q5" s="18">
        <v>9851</v>
      </c>
      <c r="R5" s="18">
        <v>14041</v>
      </c>
      <c r="S5" s="18">
        <v>36460</v>
      </c>
      <c r="T5" s="18" t="s">
        <v>211</v>
      </c>
      <c r="U5" s="22" t="s">
        <v>758</v>
      </c>
      <c r="V5" s="9" t="str">
        <f>HYPERLINK(_xlfn.CONCAT(Table910[[#This Row],[Parent]],Table910[[#This Row],[FILE_NAME_1]]),Table910[[#This Row],[FILE_NAME_1]])</f>
        <v>Q1 2025 - source rebate - saving tracker file.xlsx</v>
      </c>
      <c r="W5" s="22"/>
      <c r="X5" s="9"/>
      <c r="Y5" s="22"/>
      <c r="Z5" s="9"/>
      <c r="AA5" s="22"/>
      <c r="AB5" s="9"/>
    </row>
    <row r="6" spans="1:28" x14ac:dyDescent="0.25">
      <c r="A6" s="22">
        <v>88002232</v>
      </c>
      <c r="B6" s="22" t="s">
        <v>759</v>
      </c>
      <c r="C6" s="22" t="s">
        <v>387</v>
      </c>
      <c r="D6" s="22" t="s">
        <v>353</v>
      </c>
      <c r="E6" s="22" t="s">
        <v>136</v>
      </c>
      <c r="F6" s="22" t="s">
        <v>68</v>
      </c>
      <c r="G6" s="22" t="s">
        <v>354</v>
      </c>
      <c r="H6" s="22" t="s">
        <v>760</v>
      </c>
      <c r="I6" s="22" t="s">
        <v>266</v>
      </c>
      <c r="J6" s="22" t="s">
        <v>364</v>
      </c>
      <c r="K6" s="23">
        <v>236762</v>
      </c>
      <c r="L6" s="18">
        <v>160616</v>
      </c>
      <c r="M6" s="18">
        <v>61</v>
      </c>
      <c r="N6" s="18">
        <v>0</v>
      </c>
      <c r="O6" s="18">
        <v>140</v>
      </c>
      <c r="P6" s="18">
        <v>237</v>
      </c>
      <c r="Q6" s="18">
        <v>22053</v>
      </c>
      <c r="R6" s="18">
        <v>4656</v>
      </c>
      <c r="S6" s="18">
        <v>48999</v>
      </c>
      <c r="T6" s="18" t="s">
        <v>211</v>
      </c>
      <c r="U6" s="22" t="s">
        <v>761</v>
      </c>
      <c r="V6" s="9" t="str">
        <f>HYPERLINK(_xlfn.CONCAT(Table910[[#This Row],[Parent]],Table910[[#This Row],[FILE_NAME_1]]),Table910[[#This Row],[FILE_NAME_1]])</f>
        <v>Q1 2025 - SPD credit memo- Saving tracker file.xlsx</v>
      </c>
      <c r="W6" s="22"/>
      <c r="X6" s="9"/>
      <c r="Y6" s="22"/>
      <c r="Z6" s="9"/>
      <c r="AA6" s="22"/>
      <c r="AB6" s="9"/>
    </row>
    <row r="7" spans="1:28" x14ac:dyDescent="0.25">
      <c r="A7" s="22">
        <v>88002233</v>
      </c>
      <c r="B7" s="22" t="s">
        <v>762</v>
      </c>
      <c r="C7" s="22" t="s">
        <v>76</v>
      </c>
      <c r="D7" s="22" t="s">
        <v>763</v>
      </c>
      <c r="E7" s="22" t="s">
        <v>136</v>
      </c>
      <c r="F7" s="22" t="s">
        <v>68</v>
      </c>
      <c r="G7" s="22" t="s">
        <v>764</v>
      </c>
      <c r="H7" s="22" t="s">
        <v>765</v>
      </c>
      <c r="I7" s="22" t="s">
        <v>218</v>
      </c>
      <c r="J7" s="22" t="s">
        <v>766</v>
      </c>
      <c r="K7" s="23">
        <v>111243</v>
      </c>
      <c r="L7" s="18">
        <v>57450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5222</v>
      </c>
      <c r="S7" s="18">
        <v>48571</v>
      </c>
      <c r="T7" s="18" t="s">
        <v>211</v>
      </c>
      <c r="U7" s="22" t="s">
        <v>767</v>
      </c>
      <c r="V7" s="9" t="str">
        <f>HYPERLINK(_xlfn.CONCAT(Table910[[#This Row],[Parent]],Table910[[#This Row],[FILE_NAME_1]]),Table910[[#This Row],[FILE_NAME_1]])</f>
        <v>3.17.2025 -MONTEFIORE Customer Rebate Report 10.1 to 12.31.xlsx</v>
      </c>
      <c r="W7" s="22" t="s">
        <v>768</v>
      </c>
      <c r="X7" s="9" t="str">
        <f>HYPERLINK(_xlfn.CONCAT(Table910[[#This Row],[Parent]],Table910[[#This Row],[FILE_NAME_2]]),Table910[[#This Row],[FILE_NAME_2]])</f>
        <v>Lantheus- Progenics pharmacy  ACH Wire Transfer 32000185 paid 03.14.25.pdf</v>
      </c>
      <c r="Y7" s="22"/>
      <c r="Z7" s="9"/>
      <c r="AA7" s="22"/>
      <c r="AB7" s="9"/>
    </row>
    <row r="8" spans="1:28" x14ac:dyDescent="0.25">
      <c r="A8" s="22">
        <v>88002236</v>
      </c>
      <c r="B8" s="22" t="s">
        <v>769</v>
      </c>
      <c r="C8" s="22" t="s">
        <v>64</v>
      </c>
      <c r="D8" s="22" t="s">
        <v>643</v>
      </c>
      <c r="E8" s="22" t="s">
        <v>88</v>
      </c>
      <c r="F8" s="22" t="s">
        <v>68</v>
      </c>
      <c r="G8" s="22" t="s">
        <v>216</v>
      </c>
      <c r="H8" s="22" t="s">
        <v>770</v>
      </c>
      <c r="I8" s="22" t="s">
        <v>218</v>
      </c>
      <c r="J8" s="22" t="s">
        <v>771</v>
      </c>
      <c r="K8" s="23">
        <v>528031</v>
      </c>
      <c r="L8" s="18">
        <v>348850</v>
      </c>
      <c r="M8" s="18">
        <v>5</v>
      </c>
      <c r="N8" s="18">
        <v>808</v>
      </c>
      <c r="O8" s="18">
        <v>6062</v>
      </c>
      <c r="P8" s="18">
        <v>16367</v>
      </c>
      <c r="Q8" s="18">
        <v>25995</v>
      </c>
      <c r="R8" s="18">
        <v>40741</v>
      </c>
      <c r="S8" s="18">
        <v>89203</v>
      </c>
      <c r="T8" s="18" t="s">
        <v>211</v>
      </c>
      <c r="U8" s="22" t="s">
        <v>772</v>
      </c>
      <c r="V8" s="9" t="str">
        <f>HYPERLINK(_xlfn.CONCAT(Table910[[#This Row],[Parent]],Table910[[#This Row],[FILE_NAME_1]]),Table910[[#This Row],[FILE_NAME_1]])</f>
        <v>BD SCA July2024-Dec2024 Detail.xlsx</v>
      </c>
      <c r="W8" s="22" t="s">
        <v>773</v>
      </c>
      <c r="X8" s="9" t="str">
        <f>HYPERLINK(_xlfn.CONCAT(Table910[[#This Row],[Parent]],Table910[[#This Row],[FILE_NAME_2]]),Table910[[#This Row],[FILE_NAME_2]])</f>
        <v>BD SCA Rebate July2024-Dec2024 ACH Confirmation 5-19-2025.pdf</v>
      </c>
      <c r="Y8" s="22"/>
      <c r="Z8" s="9"/>
      <c r="AA8" s="22"/>
      <c r="AB8" s="9"/>
    </row>
    <row r="9" spans="1:28" x14ac:dyDescent="0.25">
      <c r="A9" s="22">
        <v>88002237</v>
      </c>
      <c r="B9" s="22" t="s">
        <v>774</v>
      </c>
      <c r="C9" s="22" t="s">
        <v>64</v>
      </c>
      <c r="D9" s="22" t="s">
        <v>215</v>
      </c>
      <c r="E9" s="22" t="s">
        <v>88</v>
      </c>
      <c r="F9" s="22" t="s">
        <v>68</v>
      </c>
      <c r="G9" s="22" t="s">
        <v>216</v>
      </c>
      <c r="H9" s="22" t="s">
        <v>770</v>
      </c>
      <c r="I9" s="22" t="s">
        <v>218</v>
      </c>
      <c r="J9" s="22" t="s">
        <v>775</v>
      </c>
      <c r="K9" s="23">
        <v>114928</v>
      </c>
      <c r="L9" s="18">
        <v>71949</v>
      </c>
      <c r="M9" s="18">
        <v>126</v>
      </c>
      <c r="N9" s="18">
        <v>0</v>
      </c>
      <c r="O9" s="18">
        <v>1548</v>
      </c>
      <c r="P9" s="18">
        <v>4776</v>
      </c>
      <c r="Q9" s="18">
        <v>11124</v>
      </c>
      <c r="R9" s="18">
        <v>7591</v>
      </c>
      <c r="S9" s="18">
        <v>17814</v>
      </c>
      <c r="T9" s="18" t="s">
        <v>211</v>
      </c>
      <c r="U9" s="22" t="s">
        <v>776</v>
      </c>
      <c r="V9" s="9" t="str">
        <f>HYPERLINK(_xlfn.CONCAT(Table910[[#This Row],[Parent]],Table910[[#This Row],[FILE_NAME_1]]),Table910[[#This Row],[FILE_NAME_1]])</f>
        <v>BD General Urology ACH Payment Confirmation for Oct2024-Feb2025 Rebate 5-19-2025.pdf</v>
      </c>
      <c r="W9" s="22" t="s">
        <v>777</v>
      </c>
      <c r="X9" s="9" t="str">
        <f>HYPERLINK(_xlfn.CONCAT(Table910[[#This Row],[Parent]],Table910[[#This Row],[FILE_NAME_2]]),Table910[[#This Row],[FILE_NAME_2]])</f>
        <v>BD General Urology Rebate Oct2024-Feb2025.xlsx</v>
      </c>
      <c r="Y9" s="22"/>
      <c r="Z9" s="9"/>
      <c r="AA9" s="22"/>
      <c r="AB9" s="9"/>
    </row>
    <row r="10" spans="1:28" x14ac:dyDescent="0.25">
      <c r="A10" s="22">
        <v>88002238</v>
      </c>
      <c r="B10" s="22" t="s">
        <v>778</v>
      </c>
      <c r="C10" s="22" t="s">
        <v>76</v>
      </c>
      <c r="D10" s="22" t="s">
        <v>171</v>
      </c>
      <c r="E10" s="22" t="s">
        <v>58</v>
      </c>
      <c r="F10" s="22" t="s">
        <v>68</v>
      </c>
      <c r="G10" s="22" t="s">
        <v>172</v>
      </c>
      <c r="H10" s="22" t="s">
        <v>779</v>
      </c>
      <c r="I10" s="22" t="s">
        <v>266</v>
      </c>
      <c r="J10" s="22" t="s">
        <v>780</v>
      </c>
      <c r="K10" s="23">
        <v>340000</v>
      </c>
      <c r="L10" s="18">
        <v>160000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180000</v>
      </c>
      <c r="T10" s="18" t="s">
        <v>211</v>
      </c>
      <c r="U10" s="22" t="s">
        <v>781</v>
      </c>
      <c r="V10" s="9" t="str">
        <f>HYPERLINK(_xlfn.CONCAT(Table910[[#This Row],[Parent]],Table910[[#This Row],[FILE_NAME_1]]),Table910[[#This Row],[FILE_NAME_1]])</f>
        <v>BSCI Watchman 2024Q4 Rebate.pdf</v>
      </c>
      <c r="W10" s="22" t="s">
        <v>782</v>
      </c>
      <c r="X10" s="9" t="str">
        <f>HYPERLINK(_xlfn.CONCAT(Table910[[#This Row],[Parent]],Table910[[#This Row],[FILE_NAME_2]]),Table910[[#This Row],[FILE_NAME_2]])</f>
        <v>BSCI Watchman Rebate Contract Info 1.14.25.pdf</v>
      </c>
      <c r="Y10" s="22"/>
      <c r="Z10" s="9"/>
      <c r="AA10" s="22"/>
      <c r="AB10" s="9"/>
    </row>
    <row r="11" spans="1:28" x14ac:dyDescent="0.25">
      <c r="A11" s="22">
        <v>88002240</v>
      </c>
      <c r="B11" s="22" t="s">
        <v>778</v>
      </c>
      <c r="C11" s="22" t="s">
        <v>76</v>
      </c>
      <c r="D11" s="22" t="s">
        <v>171</v>
      </c>
      <c r="E11" s="22" t="s">
        <v>58</v>
      </c>
      <c r="F11" s="22" t="s">
        <v>68</v>
      </c>
      <c r="G11" s="22" t="s">
        <v>172</v>
      </c>
      <c r="H11" s="22" t="s">
        <v>783</v>
      </c>
      <c r="I11" s="22" t="s">
        <v>218</v>
      </c>
      <c r="J11" s="22" t="s">
        <v>784</v>
      </c>
      <c r="K11" s="23">
        <v>364000</v>
      </c>
      <c r="L11" s="18">
        <v>180000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184000</v>
      </c>
      <c r="T11" s="18" t="s">
        <v>211</v>
      </c>
      <c r="U11" s="22" t="s">
        <v>782</v>
      </c>
      <c r="V11" s="9" t="str">
        <f>HYPERLINK(_xlfn.CONCAT(Table910[[#This Row],[Parent]],Table910[[#This Row],[FILE_NAME_1]]),Table910[[#This Row],[FILE_NAME_1]])</f>
        <v>BSCI Watchman Rebate Contract Info 1.14.25.pdf</v>
      </c>
      <c r="W11" s="22" t="s">
        <v>785</v>
      </c>
      <c r="X11" s="9" t="str">
        <f>HYPERLINK(_xlfn.CONCAT(Table910[[#This Row],[Parent]],Table910[[#This Row],[FILE_NAME_2]]),Table910[[#This Row],[FILE_NAME_2]])</f>
        <v>MHS Watchman Rebate 2025Q1.pdf</v>
      </c>
      <c r="Y11" s="22"/>
      <c r="Z11" s="9"/>
      <c r="AA11" s="22"/>
      <c r="AB11" s="9"/>
    </row>
    <row r="12" spans="1:28" x14ac:dyDescent="0.25">
      <c r="A12" s="22">
        <v>88002241</v>
      </c>
      <c r="B12" s="22" t="s">
        <v>786</v>
      </c>
      <c r="C12" s="22" t="s">
        <v>76</v>
      </c>
      <c r="D12" s="22" t="s">
        <v>495</v>
      </c>
      <c r="E12" s="22" t="s">
        <v>58</v>
      </c>
      <c r="F12" s="22" t="s">
        <v>68</v>
      </c>
      <c r="G12" s="22" t="s">
        <v>496</v>
      </c>
      <c r="H12" s="22" t="s">
        <v>783</v>
      </c>
      <c r="I12" s="22" t="s">
        <v>266</v>
      </c>
      <c r="J12" s="22" t="s">
        <v>787</v>
      </c>
      <c r="K12" s="23">
        <v>45568</v>
      </c>
      <c r="L12" s="18">
        <v>43439</v>
      </c>
      <c r="M12" s="18">
        <v>0</v>
      </c>
      <c r="N12" s="18">
        <v>0</v>
      </c>
      <c r="O12" s="18">
        <v>0</v>
      </c>
      <c r="P12" s="18">
        <v>0</v>
      </c>
      <c r="Q12" s="18">
        <v>1037</v>
      </c>
      <c r="R12" s="18">
        <v>180</v>
      </c>
      <c r="S12" s="18">
        <v>912</v>
      </c>
      <c r="T12" s="18" t="s">
        <v>211</v>
      </c>
      <c r="U12" s="22" t="s">
        <v>788</v>
      </c>
      <c r="V12" s="9" t="str">
        <f>HYPERLINK(_xlfn.CONCAT(Table910[[#This Row],[Parent]],Table910[[#This Row],[FILE_NAME_1]]),Table910[[#This Row],[FILE_NAME_1]])</f>
        <v>Biotronik Credit Memo Rebate 2025Q1 5500204478.pdf</v>
      </c>
      <c r="W12" s="22" t="s">
        <v>789</v>
      </c>
      <c r="X12" s="9" t="str">
        <f>HYPERLINK(_xlfn.CONCAT(Table910[[#This Row],[Parent]],Table910[[#This Row],[FILE_NAME_2]]),Table910[[#This Row],[FILE_NAME_2]])</f>
        <v>Biotronik Montefiore CRM Rebate 2025 Q1.xlsx</v>
      </c>
      <c r="Y12" s="22" t="s">
        <v>501</v>
      </c>
      <c r="Z12" s="9" t="str">
        <f>HYPERLINK(_xlfn.CONCAT(Table910[[#This Row],[Parent]],Table910[[#This Row],[FILE_NAME_3]]),Table910[[#This Row],[FILE_NAME_3]])</f>
        <v>Biotronik Rebate Details 11.6.24.PNG</v>
      </c>
      <c r="AA12" s="22"/>
      <c r="AB12" s="9"/>
    </row>
    <row r="13" spans="1:28" x14ac:dyDescent="0.25">
      <c r="A13" s="22">
        <v>88002242</v>
      </c>
      <c r="B13" s="22" t="s">
        <v>790</v>
      </c>
      <c r="C13" s="22" t="s">
        <v>76</v>
      </c>
      <c r="D13" s="22" t="s">
        <v>397</v>
      </c>
      <c r="E13" s="22" t="s">
        <v>58</v>
      </c>
      <c r="F13" s="22" t="s">
        <v>68</v>
      </c>
      <c r="G13" s="22" t="s">
        <v>398</v>
      </c>
      <c r="H13" s="22" t="s">
        <v>791</v>
      </c>
      <c r="I13" s="22" t="s">
        <v>266</v>
      </c>
      <c r="J13" s="22" t="s">
        <v>792</v>
      </c>
      <c r="K13" s="23">
        <v>45050</v>
      </c>
      <c r="L13" s="18">
        <v>26550</v>
      </c>
      <c r="M13" s="18">
        <v>0</v>
      </c>
      <c r="N13" s="18">
        <v>0</v>
      </c>
      <c r="O13" s="18">
        <v>0</v>
      </c>
      <c r="P13" s="18">
        <v>0</v>
      </c>
      <c r="Q13" s="18">
        <v>3650</v>
      </c>
      <c r="R13" s="18">
        <v>6500</v>
      </c>
      <c r="S13" s="18">
        <v>8350</v>
      </c>
      <c r="T13" s="18" t="s">
        <v>211</v>
      </c>
      <c r="U13" s="22" t="s">
        <v>793</v>
      </c>
      <c r="V13" s="9" t="str">
        <f>HYPERLINK(_xlfn.CONCAT(Table910[[#This Row],[Parent]],Table910[[#This Row],[FILE_NAME_1]]),Table910[[#This Row],[FILE_NAME_1]])</f>
        <v>Medtronic DES Rebate Breakdown 2024Q4.xlsx</v>
      </c>
      <c r="W13" s="22" t="s">
        <v>794</v>
      </c>
      <c r="X13" s="9" t="str">
        <f>HYPERLINK(_xlfn.CONCAT(Table910[[#This Row],[Parent]],Table910[[#This Row],[FILE_NAME_2]]),Table910[[#This Row],[FILE_NAME_2]])</f>
        <v>MMC Medtronic DES Rebate 2024Q4.pdf</v>
      </c>
      <c r="Y13" s="22" t="s">
        <v>795</v>
      </c>
      <c r="Z13" s="9" t="str">
        <f>HYPERLINK(_xlfn.CONCAT(Table910[[#This Row],[Parent]],Table910[[#This Row],[FILE_NAME_3]]),Table910[[#This Row],[FILE_NAME_3]])</f>
        <v>St. Lukes Medtronic DES Rebate 2024Q4.pdf</v>
      </c>
      <c r="AA13" s="22" t="s">
        <v>796</v>
      </c>
      <c r="AB13" s="9" t="str">
        <f>HYPERLINK(_xlfn.CONCAT(Table910[[#This Row],[Parent]],Table910[[#This Row],[FILE_NAME_4]]),Table910[[#This Row],[FILE_NAME_4]])</f>
        <v>WPH Medtronic DES Credit Memo 2024Q4.pdf</v>
      </c>
    </row>
    <row r="14" spans="1:28" x14ac:dyDescent="0.25">
      <c r="A14" s="22">
        <v>88002243</v>
      </c>
      <c r="B14" s="22" t="s">
        <v>797</v>
      </c>
      <c r="C14" s="22" t="s">
        <v>64</v>
      </c>
      <c r="D14" s="22" t="s">
        <v>241</v>
      </c>
      <c r="E14" s="22" t="s">
        <v>242</v>
      </c>
      <c r="F14" s="22" t="s">
        <v>68</v>
      </c>
      <c r="G14" s="22" t="s">
        <v>77</v>
      </c>
      <c r="H14" s="22" t="s">
        <v>798</v>
      </c>
      <c r="I14" s="22" t="s">
        <v>218</v>
      </c>
      <c r="J14" s="22" t="s">
        <v>799</v>
      </c>
      <c r="K14" s="23">
        <v>113511</v>
      </c>
      <c r="L14" s="18">
        <v>113511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 t="s">
        <v>211</v>
      </c>
      <c r="U14" s="22" t="s">
        <v>800</v>
      </c>
      <c r="V14" s="9" t="str">
        <f>HYPERLINK(_xlfn.CONCAT(Table910[[#This Row],[Parent]],Table910[[#This Row],[FILE_NAME_1]]),Table910[[#This Row],[FILE_NAME_1]])</f>
        <v>14223-Montefiore-REBATE-Quarterly-Apr-2025.pdf</v>
      </c>
      <c r="W14" s="22"/>
      <c r="X14" s="9"/>
      <c r="Y14" s="22"/>
      <c r="Z14" s="9"/>
      <c r="AA14" s="22"/>
      <c r="AB14" s="9"/>
    </row>
    <row r="22" spans="13:13" x14ac:dyDescent="0.25">
      <c r="M22" s="20"/>
    </row>
    <row r="23" spans="13:13" x14ac:dyDescent="0.25">
      <c r="M23" s="20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"/>
  <sheetViews>
    <sheetView workbookViewId="0">
      <selection activeCell="C36" sqref="C36"/>
    </sheetView>
  </sheetViews>
  <sheetFormatPr defaultRowHeight="15" x14ac:dyDescent="0.25"/>
  <cols>
    <col min="1" max="1" width="12.140625" customWidth="1"/>
    <col min="2" max="2" width="15.28515625" customWidth="1"/>
    <col min="3" max="3" width="14.28515625" customWidth="1"/>
    <col min="4" max="4" width="17.7109375" customWidth="1"/>
    <col min="5" max="5" width="18.28515625" customWidth="1"/>
    <col min="6" max="6" width="16.7109375" customWidth="1"/>
    <col min="7" max="7" width="14.5703125" customWidth="1"/>
    <col min="8" max="8" width="19.42578125" customWidth="1"/>
    <col min="9" max="9" width="21.5703125" customWidth="1"/>
    <col min="10" max="10" width="15.7109375" customWidth="1"/>
    <col min="11" max="11" width="15.85546875" style="18" customWidth="1"/>
    <col min="12" max="12" width="14.85546875" style="18" bestFit="1" customWidth="1"/>
    <col min="13" max="13" width="14.7109375" style="18" customWidth="1"/>
    <col min="14" max="14" width="15.28515625" style="18" customWidth="1"/>
    <col min="15" max="15" width="14.42578125" style="18" customWidth="1"/>
    <col min="16" max="16" width="14.140625" style="18" customWidth="1"/>
    <col min="17" max="17" width="14.85546875" style="18" customWidth="1"/>
    <col min="18" max="18" width="13.7109375" style="18" customWidth="1"/>
    <col min="19" max="19" width="14.85546875" style="18" bestFit="1" customWidth="1"/>
    <col min="20" max="20" width="19.7109375" style="18" hidden="1" customWidth="1"/>
    <col min="21" max="21" width="22.7109375" hidden="1" customWidth="1"/>
    <col min="22" max="22" width="24.85546875" hidden="1" customWidth="1"/>
    <col min="23" max="23" width="42.5703125" hidden="1" customWidth="1"/>
    <col min="24" max="24" width="64.42578125" bestFit="1" customWidth="1"/>
    <col min="25" max="25" width="56.140625" bestFit="1" customWidth="1"/>
    <col min="26" max="26" width="42.5703125" bestFit="1" customWidth="1"/>
  </cols>
  <sheetData>
    <row r="1" spans="1:2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8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</row>
    <row r="2" spans="1:26" x14ac:dyDescent="0.25">
      <c r="A2">
        <v>88002164</v>
      </c>
      <c r="B2" t="s">
        <v>207</v>
      </c>
      <c r="C2" t="s">
        <v>64</v>
      </c>
      <c r="D2" t="s">
        <v>208</v>
      </c>
      <c r="E2" t="s">
        <v>136</v>
      </c>
      <c r="F2" t="s">
        <v>68</v>
      </c>
      <c r="G2" t="s">
        <v>196</v>
      </c>
      <c r="H2" t="s">
        <v>209</v>
      </c>
      <c r="I2" t="s">
        <v>153</v>
      </c>
      <c r="J2" t="s">
        <v>210</v>
      </c>
      <c r="K2" s="19">
        <v>126162</v>
      </c>
      <c r="L2" s="18">
        <v>59701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66461</v>
      </c>
      <c r="T2" s="18" t="s">
        <v>211</v>
      </c>
      <c r="U2" t="s">
        <v>212</v>
      </c>
      <c r="V2" t="s">
        <v>213</v>
      </c>
      <c r="X2" s="9" t="str">
        <f>HYPERLINK(_xlfn.CONCAT(Table8[[#This Row],[Parent]],Table8[[#This Row],[FILE_NAME_1]]),Table8[[#This Row],[FILE_NAME_1]])</f>
        <v>24A PharmOverlay IMD MONTEFIORE HEALTH SYSTEM INC APR24-SEP24.xlsm</v>
      </c>
      <c r="Y2" s="9" t="str">
        <f>HYPERLINK(_xlfn.CONCAT(Table8[[#This Row],[Parent]],Table8[[#This Row],[FILE_NAME_2]]),Table8[[#This Row],[FILE_NAME_2]])</f>
        <v>Johnson - Johnson check - 24A 1.30.2025.pdf</v>
      </c>
      <c r="Z2" s="9"/>
    </row>
    <row r="3" spans="1:26" x14ac:dyDescent="0.25">
      <c r="A3">
        <v>88002168</v>
      </c>
      <c r="B3" t="s">
        <v>214</v>
      </c>
      <c r="C3" t="s">
        <v>64</v>
      </c>
      <c r="D3" t="s">
        <v>215</v>
      </c>
      <c r="E3" t="s">
        <v>88</v>
      </c>
      <c r="F3" t="s">
        <v>68</v>
      </c>
      <c r="G3" t="s">
        <v>216</v>
      </c>
      <c r="H3" t="s">
        <v>217</v>
      </c>
      <c r="I3" t="s">
        <v>218</v>
      </c>
      <c r="J3" t="s">
        <v>219</v>
      </c>
      <c r="K3" s="19">
        <v>353009</v>
      </c>
      <c r="L3" s="18">
        <v>214884</v>
      </c>
      <c r="M3" s="18">
        <v>451</v>
      </c>
      <c r="N3" s="18">
        <v>0</v>
      </c>
      <c r="O3" s="18">
        <v>4072</v>
      </c>
      <c r="P3" s="18">
        <v>16094</v>
      </c>
      <c r="Q3" s="18">
        <v>34637</v>
      </c>
      <c r="R3" s="18">
        <v>25422</v>
      </c>
      <c r="S3" s="18">
        <v>57449</v>
      </c>
      <c r="T3" s="18" t="s">
        <v>211</v>
      </c>
      <c r="U3" t="s">
        <v>220</v>
      </c>
      <c r="V3" t="s">
        <v>221</v>
      </c>
      <c r="X3" s="9" t="str">
        <f>HYPERLINK(_xlfn.CONCAT(Table8[[#This Row],[Parent]],Table8[[#This Row],[FILE_NAME_1]]),Table8[[#This Row],[FILE_NAME_1]])</f>
        <v>BD General Urology ACH Payment Confirmation 02-24-2025.pdf</v>
      </c>
      <c r="Y3" s="9" t="str">
        <f>HYPERLINK(_xlfn.CONCAT(Table8[[#This Row],[Parent]],Table8[[#This Row],[FILE_NAME_2]]),Table8[[#This Row],[FILE_NAME_2]])</f>
        <v>BD General Urology Rebate Oct23-Sep24xlsx.xlsx</v>
      </c>
      <c r="Z3" s="9"/>
    </row>
    <row r="4" spans="1:26" x14ac:dyDescent="0.25">
      <c r="A4">
        <v>88002169</v>
      </c>
      <c r="B4" t="s">
        <v>222</v>
      </c>
      <c r="C4" t="s">
        <v>64</v>
      </c>
      <c r="D4" t="s">
        <v>223</v>
      </c>
      <c r="E4" t="s">
        <v>88</v>
      </c>
      <c r="F4" t="s">
        <v>68</v>
      </c>
      <c r="G4" t="s">
        <v>216</v>
      </c>
      <c r="H4" t="s">
        <v>224</v>
      </c>
      <c r="I4" t="s">
        <v>218</v>
      </c>
      <c r="J4" t="s">
        <v>225</v>
      </c>
      <c r="K4" s="19">
        <v>181059</v>
      </c>
      <c r="L4" s="18">
        <v>137273</v>
      </c>
      <c r="M4" s="18">
        <v>1102</v>
      </c>
      <c r="N4" s="18">
        <v>539</v>
      </c>
      <c r="O4" s="18">
        <v>244</v>
      </c>
      <c r="P4" s="18">
        <v>6675</v>
      </c>
      <c r="Q4" s="18">
        <v>16272</v>
      </c>
      <c r="R4" s="18">
        <v>11995</v>
      </c>
      <c r="S4" s="18">
        <v>6959</v>
      </c>
      <c r="T4" s="18" t="s">
        <v>211</v>
      </c>
      <c r="U4" t="s">
        <v>226</v>
      </c>
      <c r="V4" t="s">
        <v>227</v>
      </c>
      <c r="X4" s="9" t="str">
        <f>HYPERLINK(_xlfn.CONCAT(Table8[[#This Row],[Parent]],Table8[[#This Row],[FILE_NAME_1]]),Table8[[#This Row],[FILE_NAME_1]])</f>
        <v>BD Hypodermic and Flush Rebate ACH Payment Confirmation 03-19-2025.pdf</v>
      </c>
      <c r="Y4" s="9" t="str">
        <f>HYPERLINK(_xlfn.CONCAT(Table8[[#This Row],[Parent]],Table8[[#This Row],[FILE_NAME_2]]),Table8[[#This Row],[FILE_NAME_2]])</f>
        <v>BD Hypodermic-Flush Rebate Oct2023-Sept2024.xlsx</v>
      </c>
      <c r="Z4" s="9"/>
    </row>
    <row r="5" spans="1:26" x14ac:dyDescent="0.25">
      <c r="A5">
        <v>88002170</v>
      </c>
      <c r="B5" t="s">
        <v>228</v>
      </c>
      <c r="C5" t="s">
        <v>64</v>
      </c>
      <c r="D5" t="s">
        <v>229</v>
      </c>
      <c r="E5" t="s">
        <v>88</v>
      </c>
      <c r="F5" t="s">
        <v>68</v>
      </c>
      <c r="G5" t="s">
        <v>230</v>
      </c>
      <c r="H5" t="s">
        <v>231</v>
      </c>
      <c r="I5" t="s">
        <v>218</v>
      </c>
      <c r="J5" t="s">
        <v>232</v>
      </c>
      <c r="K5" s="19">
        <v>164231</v>
      </c>
      <c r="L5" s="18">
        <v>104877</v>
      </c>
      <c r="M5" s="18">
        <v>272</v>
      </c>
      <c r="N5" s="18">
        <v>333</v>
      </c>
      <c r="O5" s="18">
        <v>1782</v>
      </c>
      <c r="P5" s="18">
        <v>4497</v>
      </c>
      <c r="Q5" s="18">
        <v>11525</v>
      </c>
      <c r="R5" s="18">
        <v>10233</v>
      </c>
      <c r="S5" s="18">
        <v>30712</v>
      </c>
      <c r="T5" s="18" t="s">
        <v>211</v>
      </c>
      <c r="U5" t="s">
        <v>233</v>
      </c>
      <c r="V5" t="s">
        <v>234</v>
      </c>
      <c r="X5" s="9" t="str">
        <f>HYPERLINK(_xlfn.CONCAT(Table8[[#This Row],[Parent]],Table8[[#This Row],[FILE_NAME_1]]),Table8[[#This Row],[FILE_NAME_1]])</f>
        <v>BD SCA Jan2024-Jun2024 Rebate.xlsx</v>
      </c>
      <c r="Y5" s="9" t="str">
        <f>HYPERLINK(_xlfn.CONCAT(Table8[[#This Row],[Parent]],Table8[[#This Row],[FILE_NAME_2]]),Table8[[#This Row],[FILE_NAME_2]])</f>
        <v>BD SCA Rebate Jan2024-June2024 ACH Confirmation 7-26-2024.pdf</v>
      </c>
      <c r="Z5" s="9"/>
    </row>
    <row r="6" spans="1:26" x14ac:dyDescent="0.25">
      <c r="A6">
        <v>88002181</v>
      </c>
      <c r="B6" t="s">
        <v>235</v>
      </c>
      <c r="C6" t="s">
        <v>64</v>
      </c>
      <c r="D6" t="s">
        <v>135</v>
      </c>
      <c r="E6" t="s">
        <v>236</v>
      </c>
      <c r="F6" t="s">
        <v>102</v>
      </c>
      <c r="G6" t="s">
        <v>137</v>
      </c>
      <c r="H6" t="s">
        <v>237</v>
      </c>
      <c r="I6" t="s">
        <v>218</v>
      </c>
      <c r="J6" t="s">
        <v>238</v>
      </c>
      <c r="K6" s="19">
        <v>18733</v>
      </c>
      <c r="L6" s="18">
        <v>16215</v>
      </c>
      <c r="M6" s="18">
        <v>0</v>
      </c>
      <c r="N6" s="18">
        <v>0</v>
      </c>
      <c r="O6" s="18">
        <v>621</v>
      </c>
      <c r="P6" s="18">
        <v>1897</v>
      </c>
      <c r="Q6" s="18">
        <v>0</v>
      </c>
      <c r="R6" s="18">
        <v>0</v>
      </c>
      <c r="S6" s="18">
        <v>0</v>
      </c>
      <c r="T6" s="18" t="s">
        <v>211</v>
      </c>
      <c r="U6" t="s">
        <v>239</v>
      </c>
      <c r="X6" s="9" t="str">
        <f>HYPERLINK(_xlfn.CONCAT(Table8[[#This Row],[Parent]],Table8[[#This Row],[FILE_NAME_1]]),Table8[[#This Row],[FILE_NAME_1]])</f>
        <v>_HHUTCHIN@montefiore.org_Food Services.pdf</v>
      </c>
      <c r="Y6" s="9"/>
      <c r="Z6" s="9"/>
    </row>
    <row r="7" spans="1:26" x14ac:dyDescent="0.25">
      <c r="A7">
        <v>88002182</v>
      </c>
      <c r="B7" t="s">
        <v>240</v>
      </c>
      <c r="C7" t="s">
        <v>64</v>
      </c>
      <c r="D7" t="s">
        <v>241</v>
      </c>
      <c r="E7" t="s">
        <v>242</v>
      </c>
      <c r="F7" t="s">
        <v>68</v>
      </c>
      <c r="G7" t="s">
        <v>243</v>
      </c>
      <c r="H7" t="s">
        <v>244</v>
      </c>
      <c r="I7" t="s">
        <v>218</v>
      </c>
      <c r="J7" t="s">
        <v>245</v>
      </c>
      <c r="K7" s="19">
        <v>117922</v>
      </c>
      <c r="L7" s="18">
        <v>117922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 t="s">
        <v>211</v>
      </c>
      <c r="U7" t="s">
        <v>246</v>
      </c>
      <c r="X7" s="9" t="str">
        <f>HYPERLINK(_xlfn.CONCAT(Table8[[#This Row],[Parent]],Table8[[#This Row],[FILE_NAME_1]]),Table8[[#This Row],[FILE_NAME_1]])</f>
        <v>14223-Montefiore-REBATE-Quarterly-Jan-2025.pdf</v>
      </c>
      <c r="Y7" s="9"/>
      <c r="Z7" s="9"/>
    </row>
    <row r="8" spans="1:26" x14ac:dyDescent="0.25">
      <c r="A8">
        <v>88002183</v>
      </c>
      <c r="B8" t="s">
        <v>247</v>
      </c>
      <c r="C8" t="s">
        <v>64</v>
      </c>
      <c r="D8" t="s">
        <v>248</v>
      </c>
      <c r="E8" t="s">
        <v>136</v>
      </c>
      <c r="F8" t="s">
        <v>68</v>
      </c>
      <c r="G8" t="s">
        <v>249</v>
      </c>
      <c r="H8" t="s">
        <v>250</v>
      </c>
      <c r="I8" t="s">
        <v>218</v>
      </c>
      <c r="J8" t="s">
        <v>251</v>
      </c>
      <c r="K8" s="19">
        <v>293153</v>
      </c>
      <c r="L8" s="18">
        <v>180218</v>
      </c>
      <c r="M8" s="18">
        <v>359</v>
      </c>
      <c r="N8" s="18">
        <v>0</v>
      </c>
      <c r="O8" s="18">
        <v>2869</v>
      </c>
      <c r="P8" s="18">
        <v>11321</v>
      </c>
      <c r="Q8" s="18">
        <v>13710</v>
      </c>
      <c r="R8" s="18">
        <v>30065</v>
      </c>
      <c r="S8" s="18">
        <v>54611</v>
      </c>
      <c r="T8" s="18" t="s">
        <v>211</v>
      </c>
      <c r="U8" t="s">
        <v>252</v>
      </c>
      <c r="X8" s="9" t="str">
        <f>HYPERLINK(_xlfn.CONCAT(Table8[[#This Row],[Parent]],Table8[[#This Row],[FILE_NAME_1]]),Table8[[#This Row],[FILE_NAME_1]])</f>
        <v>Pfizer CY 2024 rebate.xlsx</v>
      </c>
      <c r="Y8" s="9"/>
      <c r="Z8" s="9"/>
    </row>
    <row r="9" spans="1:26" x14ac:dyDescent="0.25">
      <c r="A9">
        <v>88002188</v>
      </c>
      <c r="B9" t="s">
        <v>253</v>
      </c>
      <c r="C9" t="s">
        <v>76</v>
      </c>
      <c r="D9" t="s">
        <v>112</v>
      </c>
      <c r="E9" t="s">
        <v>58</v>
      </c>
      <c r="F9" t="s">
        <v>68</v>
      </c>
      <c r="G9" t="s">
        <v>114</v>
      </c>
      <c r="H9" t="s">
        <v>254</v>
      </c>
      <c r="I9" t="s">
        <v>218</v>
      </c>
      <c r="J9" t="s">
        <v>255</v>
      </c>
      <c r="K9" s="19">
        <v>33200</v>
      </c>
      <c r="L9" s="18">
        <v>19000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14200</v>
      </c>
      <c r="T9" s="18" t="s">
        <v>211</v>
      </c>
      <c r="U9" t="s">
        <v>256</v>
      </c>
      <c r="V9" t="s">
        <v>257</v>
      </c>
      <c r="X9" s="9" t="str">
        <f>HYPERLINK(_xlfn.CONCAT(Table8[[#This Row],[Parent]],Table8[[#This Row],[FILE_NAME_1]]),Table8[[#This Row],[FILE_NAME_1]])</f>
        <v>Biosense Webster Buyback ACH Payment Confirmation 4.9.25.pdf</v>
      </c>
      <c r="Y9" s="9" t="str">
        <f>HYPERLINK(_xlfn.CONCAT(Table8[[#This Row],[Parent]],Table8[[#This Row],[FILE_NAME_2]]),Table8[[#This Row],[FILE_NAME_2]])</f>
        <v>BWI Buyback Montefiore Medical Center 4Q24_CUST.xlsx</v>
      </c>
      <c r="Z9" s="9"/>
    </row>
    <row r="10" spans="1:26" x14ac:dyDescent="0.25">
      <c r="A10">
        <v>88002189</v>
      </c>
      <c r="B10" t="s">
        <v>258</v>
      </c>
      <c r="C10" t="s">
        <v>76</v>
      </c>
      <c r="D10" t="s">
        <v>259</v>
      </c>
      <c r="E10" t="s">
        <v>58</v>
      </c>
      <c r="F10" t="s">
        <v>68</v>
      </c>
      <c r="G10" t="s">
        <v>114</v>
      </c>
      <c r="H10" t="s">
        <v>260</v>
      </c>
      <c r="I10" t="s">
        <v>218</v>
      </c>
      <c r="J10" t="s">
        <v>261</v>
      </c>
      <c r="K10" s="19">
        <v>2613</v>
      </c>
      <c r="L10" s="18">
        <v>1585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1028</v>
      </c>
      <c r="T10" s="18" t="s">
        <v>211</v>
      </c>
      <c r="U10" t="s">
        <v>262</v>
      </c>
      <c r="V10" t="s">
        <v>263</v>
      </c>
      <c r="X10" s="9" t="str">
        <f>HYPERLINK(_xlfn.CONCAT(Table8[[#This Row],[Parent]],Table8[[#This Row],[FILE_NAME_1]]),Table8[[#This Row],[FILE_NAME_1]])</f>
        <v>Biosense Webster EP Platinum Tip Rebate ACH 4.9.25.pdf</v>
      </c>
      <c r="Y10" s="9" t="str">
        <f>HYPERLINK(_xlfn.CONCAT(Table8[[#This Row],[Parent]],Table8[[#This Row],[FILE_NAME_2]]),Table8[[#This Row],[FILE_NAME_2]])</f>
        <v>BW EP Tip Rebate Breakdown 4.9.25.xlsx</v>
      </c>
      <c r="Z10" s="9"/>
    </row>
    <row r="11" spans="1:26" x14ac:dyDescent="0.25">
      <c r="A11">
        <v>88002190</v>
      </c>
      <c r="B11" t="s">
        <v>264</v>
      </c>
      <c r="C11" t="s">
        <v>76</v>
      </c>
      <c r="D11" t="s">
        <v>95</v>
      </c>
      <c r="E11" t="s">
        <v>58</v>
      </c>
      <c r="F11" t="s">
        <v>68</v>
      </c>
      <c r="G11" t="s">
        <v>97</v>
      </c>
      <c r="H11" t="s">
        <v>265</v>
      </c>
      <c r="I11" t="s">
        <v>266</v>
      </c>
      <c r="J11" t="s">
        <v>267</v>
      </c>
      <c r="K11" s="19">
        <v>48000</v>
      </c>
      <c r="L11" s="18">
        <v>34000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14000</v>
      </c>
      <c r="T11" s="18" t="s">
        <v>211</v>
      </c>
      <c r="U11" t="s">
        <v>268</v>
      </c>
      <c r="V11" t="s">
        <v>269</v>
      </c>
      <c r="W11" t="s">
        <v>270</v>
      </c>
      <c r="X11" s="9" t="str">
        <f>HYPERLINK(_xlfn.CONCAT(Table8[[#This Row],[Parent]],Table8[[#This Row],[FILE_NAME_1]]),Table8[[#This Row],[FILE_NAME_1]])</f>
        <v>Medtronic MMC Structural Heart Credit Memo 4.9.25_20250409164638.pdf</v>
      </c>
      <c r="Y11" s="9" t="str">
        <f>HYPERLINK(_xlfn.CONCAT(Table8[[#This Row],[Parent]],Table8[[#This Row],[FILE_NAME_2]]),Table8[[#This Row],[FILE_NAME_2]])</f>
        <v>Medtronic Structural Heart Rebate Breakdown 4.9.25.xlsx</v>
      </c>
      <c r="Z11" s="9" t="str">
        <f>HYPERLINK(_xlfn.CONCAT(Table8[[#This Row],[Parent]],Table8[[#This Row],[FILE_NAME_3]]),Table8[[#This Row],[FILE_NAME_3]])</f>
        <v>Medtronic Structural Heart WPH Rebate 4.9.25.pdf</v>
      </c>
    </row>
    <row r="12" spans="1:26" x14ac:dyDescent="0.25">
      <c r="A12">
        <v>88002191</v>
      </c>
      <c r="B12" t="s">
        <v>271</v>
      </c>
      <c r="C12" t="s">
        <v>76</v>
      </c>
      <c r="D12" t="s">
        <v>95</v>
      </c>
      <c r="E12" t="s">
        <v>58</v>
      </c>
      <c r="F12" t="s">
        <v>68</v>
      </c>
      <c r="G12" t="s">
        <v>97</v>
      </c>
      <c r="H12" t="s">
        <v>272</v>
      </c>
      <c r="I12" t="s">
        <v>266</v>
      </c>
      <c r="J12" t="s">
        <v>273</v>
      </c>
      <c r="K12" s="19">
        <v>5000</v>
      </c>
      <c r="L12" s="18">
        <v>5000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 t="s">
        <v>211</v>
      </c>
      <c r="U12" t="s">
        <v>274</v>
      </c>
      <c r="V12" t="s">
        <v>275</v>
      </c>
      <c r="X12" s="9" t="str">
        <f>HYPERLINK(_xlfn.CONCAT(Table8[[#This Row],[Parent]],Table8[[#This Row],[FILE_NAME_1]]),Table8[[#This Row],[FILE_NAME_1]])</f>
        <v>Medtronic Structural Heaert Bulk Evolut Rebate Breakdown 4.9.25.xlsx</v>
      </c>
      <c r="Y12" s="9" t="str">
        <f>HYPERLINK(_xlfn.CONCAT(Table8[[#This Row],[Parent]],Table8[[#This Row],[FILE_NAME_2]]),Table8[[#This Row],[FILE_NAME_2]])</f>
        <v>Medtronic Structural Heart Bulk Rebate 4.9.25.pdf</v>
      </c>
      <c r="Z12" s="9"/>
    </row>
    <row r="13" spans="1:26" x14ac:dyDescent="0.25">
      <c r="A13">
        <v>88002193</v>
      </c>
      <c r="B13" t="s">
        <v>276</v>
      </c>
      <c r="C13" t="s">
        <v>64</v>
      </c>
      <c r="D13" t="s">
        <v>135</v>
      </c>
      <c r="E13" t="s">
        <v>242</v>
      </c>
      <c r="F13" t="s">
        <v>102</v>
      </c>
      <c r="G13" t="s">
        <v>137</v>
      </c>
      <c r="H13" t="s">
        <v>277</v>
      </c>
      <c r="I13" t="s">
        <v>218</v>
      </c>
      <c r="J13" t="s">
        <v>278</v>
      </c>
      <c r="K13" s="19">
        <v>1931893</v>
      </c>
      <c r="L13" s="18">
        <v>1580938</v>
      </c>
      <c r="M13" s="18">
        <v>15048</v>
      </c>
      <c r="N13" s="18">
        <v>10407</v>
      </c>
      <c r="O13" s="18">
        <v>43901</v>
      </c>
      <c r="P13" s="18">
        <v>69203</v>
      </c>
      <c r="Q13" s="18">
        <v>212396</v>
      </c>
      <c r="R13" s="18">
        <v>0</v>
      </c>
      <c r="S13" s="18">
        <v>0</v>
      </c>
      <c r="T13" s="18" t="s">
        <v>211</v>
      </c>
      <c r="U13" t="s">
        <v>279</v>
      </c>
      <c r="X13" s="9" t="str">
        <f>HYPERLINK(_xlfn.CONCAT(Table8[[#This Row],[Parent]],Table8[[#This Row],[FILE_NAME_1]]),Table8[[#This Row],[FILE_NAME_1]])</f>
        <v>Copy of MONTEFIORE MEDICINE ACADEMIC HEALTH SYSTEM INC. 759714 - 4Q2024 - FINAL.xlsx</v>
      </c>
      <c r="Y13" s="9"/>
      <c r="Z13" s="9"/>
    </row>
    <row r="14" spans="1:26" x14ac:dyDescent="0.25">
      <c r="A14">
        <v>88002195</v>
      </c>
      <c r="B14" t="s">
        <v>280</v>
      </c>
      <c r="C14" t="s">
        <v>76</v>
      </c>
      <c r="D14" t="s">
        <v>281</v>
      </c>
      <c r="E14" t="s">
        <v>282</v>
      </c>
      <c r="F14" t="s">
        <v>68</v>
      </c>
      <c r="G14" t="s">
        <v>283</v>
      </c>
      <c r="H14" t="s">
        <v>284</v>
      </c>
      <c r="I14" t="s">
        <v>266</v>
      </c>
      <c r="J14" t="s">
        <v>285</v>
      </c>
      <c r="K14" s="19">
        <v>28105</v>
      </c>
      <c r="L14" s="18">
        <v>25432</v>
      </c>
      <c r="M14" s="18">
        <v>0</v>
      </c>
      <c r="N14" s="18">
        <v>0</v>
      </c>
      <c r="O14" s="18">
        <v>603</v>
      </c>
      <c r="P14" s="18">
        <v>2070</v>
      </c>
      <c r="Q14" s="18">
        <v>0</v>
      </c>
      <c r="R14" s="18">
        <v>0</v>
      </c>
      <c r="S14" s="18">
        <v>0</v>
      </c>
      <c r="T14" s="18" t="s">
        <v>211</v>
      </c>
      <c r="U14" t="s">
        <v>286</v>
      </c>
      <c r="V14" t="s">
        <v>287</v>
      </c>
      <c r="W14" t="s">
        <v>288</v>
      </c>
      <c r="X14" s="9" t="str">
        <f>HYPERLINK(_xlfn.CONCAT(Table8[[#This Row],[Parent]],Table8[[#This Row],[FILE_NAME_1]]),Table8[[#This Row],[FILE_NAME_1]])</f>
        <v>Montefiore 04-14-24.xls</v>
      </c>
      <c r="Y14" s="9" t="str">
        <f>HYPERLINK(_xlfn.CONCAT(Table8[[#This Row],[Parent]],Table8[[#This Row],[FILE_NAME_2]]),Table8[[#This Row],[FILE_NAME_2]])</f>
        <v>Supplemental Staffing Realized Savings 4.16.25.xlsx</v>
      </c>
      <c r="Z14" s="9" t="str">
        <f>HYPERLINK(_xlfn.CONCAT(Table8[[#This Row],[Parent]],Table8[[#This Row],[FILE_NAME_3]]),Table8[[#This Row],[FILE_NAME_3]])</f>
        <v>Winston Contract.pdf</v>
      </c>
    </row>
    <row r="15" spans="1:26" x14ac:dyDescent="0.25">
      <c r="A15">
        <v>88002196</v>
      </c>
      <c r="B15" t="s">
        <v>280</v>
      </c>
      <c r="C15" t="s">
        <v>76</v>
      </c>
      <c r="D15" t="s">
        <v>281</v>
      </c>
      <c r="E15" t="s">
        <v>282</v>
      </c>
      <c r="F15" t="s">
        <v>68</v>
      </c>
      <c r="G15" t="s">
        <v>283</v>
      </c>
      <c r="H15" t="s">
        <v>289</v>
      </c>
      <c r="I15" t="s">
        <v>266</v>
      </c>
      <c r="J15" t="s">
        <v>290</v>
      </c>
      <c r="K15" s="19">
        <v>53247</v>
      </c>
      <c r="L15" s="18">
        <v>47229</v>
      </c>
      <c r="M15" s="18">
        <v>0</v>
      </c>
      <c r="N15" s="18">
        <v>0</v>
      </c>
      <c r="O15" s="18">
        <v>161</v>
      </c>
      <c r="P15" s="18">
        <v>5857</v>
      </c>
      <c r="Q15" s="18">
        <v>0</v>
      </c>
      <c r="R15" s="18">
        <v>0</v>
      </c>
      <c r="S15" s="18">
        <v>0</v>
      </c>
      <c r="T15" s="18" t="s">
        <v>211</v>
      </c>
      <c r="U15" t="s">
        <v>291</v>
      </c>
      <c r="V15" t="s">
        <v>287</v>
      </c>
      <c r="W15" t="s">
        <v>288</v>
      </c>
      <c r="X15" s="9" t="str">
        <f>HYPERLINK(_xlfn.CONCAT(Table8[[#This Row],[Parent]],Table8[[#This Row],[FILE_NAME_1]]),Table8[[#This Row],[FILE_NAME_1]])</f>
        <v>Montefiore 07-14-24.xls</v>
      </c>
      <c r="Y15" s="9" t="str">
        <f>HYPERLINK(_xlfn.CONCAT(Table8[[#This Row],[Parent]],Table8[[#This Row],[FILE_NAME_2]]),Table8[[#This Row],[FILE_NAME_2]])</f>
        <v>Supplemental Staffing Realized Savings 4.16.25.xlsx</v>
      </c>
      <c r="Z15" s="9" t="str">
        <f>HYPERLINK(_xlfn.CONCAT(Table8[[#This Row],[Parent]],Table8[[#This Row],[FILE_NAME_3]]),Table8[[#This Row],[FILE_NAME_3]])</f>
        <v>Winston Contract.pdf</v>
      </c>
    </row>
    <row r="16" spans="1:26" x14ac:dyDescent="0.25">
      <c r="A16">
        <v>88002197</v>
      </c>
      <c r="B16" t="s">
        <v>280</v>
      </c>
      <c r="C16" t="s">
        <v>76</v>
      </c>
      <c r="D16" t="s">
        <v>281</v>
      </c>
      <c r="E16" t="s">
        <v>282</v>
      </c>
      <c r="F16" t="s">
        <v>68</v>
      </c>
      <c r="G16" t="s">
        <v>283</v>
      </c>
      <c r="H16" t="s">
        <v>292</v>
      </c>
      <c r="I16" t="s">
        <v>266</v>
      </c>
      <c r="J16" t="s">
        <v>293</v>
      </c>
      <c r="K16" s="19">
        <v>53654</v>
      </c>
      <c r="L16" s="18">
        <v>48864</v>
      </c>
      <c r="M16" s="18">
        <v>0</v>
      </c>
      <c r="N16" s="18">
        <v>0</v>
      </c>
      <c r="O16" s="18">
        <v>0</v>
      </c>
      <c r="P16" s="18">
        <v>4790</v>
      </c>
      <c r="Q16" s="18">
        <v>0</v>
      </c>
      <c r="R16" s="18">
        <v>0</v>
      </c>
      <c r="S16" s="18">
        <v>0</v>
      </c>
      <c r="T16" s="18" t="s">
        <v>211</v>
      </c>
      <c r="U16" t="s">
        <v>294</v>
      </c>
      <c r="V16" t="s">
        <v>287</v>
      </c>
      <c r="W16" t="s">
        <v>288</v>
      </c>
      <c r="X16" s="9" t="str">
        <f>HYPERLINK(_xlfn.CONCAT(Table8[[#This Row],[Parent]],Table8[[#This Row],[FILE_NAME_1]]),Table8[[#This Row],[FILE_NAME_1]])</f>
        <v>Montefiore 10-06-24.xls</v>
      </c>
      <c r="Y16" s="9" t="str">
        <f>HYPERLINK(_xlfn.CONCAT(Table8[[#This Row],[Parent]],Table8[[#This Row],[FILE_NAME_2]]),Table8[[#This Row],[FILE_NAME_2]])</f>
        <v>Supplemental Staffing Realized Savings 4.16.25.xlsx</v>
      </c>
      <c r="Z16" s="9" t="str">
        <f>HYPERLINK(_xlfn.CONCAT(Table8[[#This Row],[Parent]],Table8[[#This Row],[FILE_NAME_3]]),Table8[[#This Row],[FILE_NAME_3]])</f>
        <v>Winston Contract.pdf</v>
      </c>
    </row>
    <row r="17" spans="1:26" x14ac:dyDescent="0.25">
      <c r="A17">
        <v>88002198</v>
      </c>
      <c r="B17" t="s">
        <v>280</v>
      </c>
      <c r="C17" t="s">
        <v>76</v>
      </c>
      <c r="D17" t="s">
        <v>281</v>
      </c>
      <c r="E17" t="s">
        <v>282</v>
      </c>
      <c r="F17" t="s">
        <v>68</v>
      </c>
      <c r="G17" t="s">
        <v>283</v>
      </c>
      <c r="H17" t="s">
        <v>295</v>
      </c>
      <c r="I17" t="s">
        <v>266</v>
      </c>
      <c r="J17" t="s">
        <v>296</v>
      </c>
      <c r="K17" s="19">
        <v>46147</v>
      </c>
      <c r="L17" s="18">
        <v>40572</v>
      </c>
      <c r="M17" s="18">
        <v>0</v>
      </c>
      <c r="N17" s="18">
        <v>0</v>
      </c>
      <c r="O17" s="18">
        <v>1459</v>
      </c>
      <c r="P17" s="18">
        <v>4116</v>
      </c>
      <c r="Q17" s="18">
        <v>0</v>
      </c>
      <c r="R17" s="18">
        <v>0</v>
      </c>
      <c r="S17" s="18">
        <v>0</v>
      </c>
      <c r="T17" s="18" t="s">
        <v>211</v>
      </c>
      <c r="U17" t="s">
        <v>297</v>
      </c>
      <c r="V17" t="s">
        <v>287</v>
      </c>
      <c r="W17" t="s">
        <v>288</v>
      </c>
      <c r="X17" s="9" t="str">
        <f>HYPERLINK(_xlfn.CONCAT(Table8[[#This Row],[Parent]],Table8[[#This Row],[FILE_NAME_1]]),Table8[[#This Row],[FILE_NAME_1]])</f>
        <v>Montefiore 01-12-25.xls</v>
      </c>
      <c r="Y17" s="9" t="str">
        <f>HYPERLINK(_xlfn.CONCAT(Table8[[#This Row],[Parent]],Table8[[#This Row],[FILE_NAME_2]]),Table8[[#This Row],[FILE_NAME_2]])</f>
        <v>Supplemental Staffing Realized Savings 4.16.25.xlsx</v>
      </c>
      <c r="Z17" s="9" t="str">
        <f>HYPERLINK(_xlfn.CONCAT(Table8[[#This Row],[Parent]],Table8[[#This Row],[FILE_NAME_3]]),Table8[[#This Row],[FILE_NAME_3]])</f>
        <v>Winston Contract.pdf</v>
      </c>
    </row>
    <row r="18" spans="1:26" x14ac:dyDescent="0.25">
      <c r="A18">
        <v>88002199</v>
      </c>
      <c r="B18" t="s">
        <v>280</v>
      </c>
      <c r="C18" t="s">
        <v>76</v>
      </c>
      <c r="D18" t="s">
        <v>298</v>
      </c>
      <c r="E18" t="s">
        <v>282</v>
      </c>
      <c r="F18" t="s">
        <v>68</v>
      </c>
      <c r="G18" t="s">
        <v>299</v>
      </c>
      <c r="H18" t="s">
        <v>300</v>
      </c>
      <c r="I18" t="s">
        <v>153</v>
      </c>
      <c r="J18" t="s">
        <v>301</v>
      </c>
      <c r="K18" s="19">
        <v>565558</v>
      </c>
      <c r="L18" s="18">
        <v>565558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 t="s">
        <v>211</v>
      </c>
      <c r="U18" t="s">
        <v>302</v>
      </c>
      <c r="V18" t="s">
        <v>303</v>
      </c>
      <c r="W18" t="s">
        <v>287</v>
      </c>
      <c r="X18" s="9" t="str">
        <f>HYPERLINK(_xlfn.CONCAT(Table8[[#This Row],[Parent]],Table8[[#This Row],[FILE_NAME_1]]),Table8[[#This Row],[FILE_NAME_1]])</f>
        <v>Fastaff MHS Agreement - Nursing.pdf</v>
      </c>
      <c r="Y18" s="9" t="str">
        <f>HYPERLINK(_xlfn.CONCAT(Table8[[#This Row],[Parent]],Table8[[#This Row],[FILE_NAME_2]]),Table8[[#This Row],[FILE_NAME_2]])</f>
        <v>Find Payments Monte Checks 24-25.xlsx</v>
      </c>
      <c r="Z18" s="9" t="str">
        <f>HYPERLINK(_xlfn.CONCAT(Table8[[#This Row],[Parent]],Table8[[#This Row],[FILE_NAME_3]]),Table8[[#This Row],[FILE_NAME_3]])</f>
        <v>Supplemental Staffing Realized Savings 4.16.25.xlsx</v>
      </c>
    </row>
    <row r="19" spans="1:26" x14ac:dyDescent="0.25">
      <c r="A19">
        <v>88002200</v>
      </c>
      <c r="B19" t="s">
        <v>280</v>
      </c>
      <c r="C19" t="s">
        <v>76</v>
      </c>
      <c r="D19" t="s">
        <v>298</v>
      </c>
      <c r="E19" t="s">
        <v>282</v>
      </c>
      <c r="F19" t="s">
        <v>68</v>
      </c>
      <c r="G19" t="s">
        <v>299</v>
      </c>
      <c r="H19" t="s">
        <v>304</v>
      </c>
      <c r="I19" t="s">
        <v>153</v>
      </c>
      <c r="J19" t="s">
        <v>305</v>
      </c>
      <c r="K19" s="19">
        <v>429566</v>
      </c>
      <c r="L19" s="18">
        <v>429566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 t="s">
        <v>211</v>
      </c>
      <c r="U19" t="s">
        <v>302</v>
      </c>
      <c r="V19" t="s">
        <v>303</v>
      </c>
      <c r="W19" t="s">
        <v>287</v>
      </c>
      <c r="X19" s="9" t="str">
        <f>HYPERLINK(_xlfn.CONCAT(Table8[[#This Row],[Parent]],Table8[[#This Row],[FILE_NAME_1]]),Table8[[#This Row],[FILE_NAME_1]])</f>
        <v>Fastaff MHS Agreement - Nursing.pdf</v>
      </c>
      <c r="Y19" s="9" t="str">
        <f>HYPERLINK(_xlfn.CONCAT(Table8[[#This Row],[Parent]],Table8[[#This Row],[FILE_NAME_2]]),Table8[[#This Row],[FILE_NAME_2]])</f>
        <v>Find Payments Monte Checks 24-25.xlsx</v>
      </c>
      <c r="Z19" s="9" t="str">
        <f>HYPERLINK(_xlfn.CONCAT(Table8[[#This Row],[Parent]],Table8[[#This Row],[FILE_NAME_3]]),Table8[[#This Row],[FILE_NAME_3]])</f>
        <v>Supplemental Staffing Realized Savings 4.16.25.xlsx</v>
      </c>
    </row>
    <row r="20" spans="1:26" x14ac:dyDescent="0.25">
      <c r="A20">
        <v>88002201</v>
      </c>
      <c r="B20" t="s">
        <v>280</v>
      </c>
      <c r="C20" t="s">
        <v>76</v>
      </c>
      <c r="D20" t="s">
        <v>298</v>
      </c>
      <c r="E20" t="s">
        <v>282</v>
      </c>
      <c r="F20" t="s">
        <v>68</v>
      </c>
      <c r="G20" t="s">
        <v>299</v>
      </c>
      <c r="H20" t="s">
        <v>306</v>
      </c>
      <c r="I20" t="s">
        <v>153</v>
      </c>
      <c r="J20" t="s">
        <v>307</v>
      </c>
      <c r="K20" s="19">
        <v>186081</v>
      </c>
      <c r="L20" s="18">
        <v>186081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 t="s">
        <v>211</v>
      </c>
      <c r="U20" t="s">
        <v>302</v>
      </c>
      <c r="V20" t="s">
        <v>303</v>
      </c>
      <c r="W20" t="s">
        <v>287</v>
      </c>
      <c r="X20" s="9" t="str">
        <f>HYPERLINK(_xlfn.CONCAT(Table8[[#This Row],[Parent]],Table8[[#This Row],[FILE_NAME_1]]),Table8[[#This Row],[FILE_NAME_1]])</f>
        <v>Fastaff MHS Agreement - Nursing.pdf</v>
      </c>
      <c r="Y20" s="9" t="str">
        <f>HYPERLINK(_xlfn.CONCAT(Table8[[#This Row],[Parent]],Table8[[#This Row],[FILE_NAME_2]]),Table8[[#This Row],[FILE_NAME_2]])</f>
        <v>Find Payments Monte Checks 24-25.xlsx</v>
      </c>
      <c r="Z20" s="9" t="str">
        <f>HYPERLINK(_xlfn.CONCAT(Table8[[#This Row],[Parent]],Table8[[#This Row],[FILE_NAME_3]]),Table8[[#This Row],[FILE_NAME_3]])</f>
        <v>Supplemental Staffing Realized Savings 4.16.25.xlsx</v>
      </c>
    </row>
    <row r="21" spans="1:26" x14ac:dyDescent="0.25">
      <c r="A21">
        <v>88002202</v>
      </c>
      <c r="B21" t="s">
        <v>280</v>
      </c>
      <c r="C21" t="s">
        <v>76</v>
      </c>
      <c r="D21" t="s">
        <v>298</v>
      </c>
      <c r="E21" t="s">
        <v>282</v>
      </c>
      <c r="F21" t="s">
        <v>68</v>
      </c>
      <c r="G21" t="s">
        <v>299</v>
      </c>
      <c r="H21" t="s">
        <v>308</v>
      </c>
      <c r="I21" t="s">
        <v>153</v>
      </c>
      <c r="J21" t="s">
        <v>309</v>
      </c>
      <c r="K21" s="19">
        <v>147741</v>
      </c>
      <c r="L21" s="18">
        <v>147741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 t="s">
        <v>211</v>
      </c>
      <c r="U21" t="s">
        <v>302</v>
      </c>
      <c r="V21" t="s">
        <v>303</v>
      </c>
      <c r="W21" t="s">
        <v>287</v>
      </c>
      <c r="X21" s="9" t="str">
        <f>HYPERLINK(_xlfn.CONCAT(Table8[[#This Row],[Parent]],Table8[[#This Row],[FILE_NAME_1]]),Table8[[#This Row],[FILE_NAME_1]])</f>
        <v>Fastaff MHS Agreement - Nursing.pdf</v>
      </c>
      <c r="Y21" s="9" t="str">
        <f>HYPERLINK(_xlfn.CONCAT(Table8[[#This Row],[Parent]],Table8[[#This Row],[FILE_NAME_2]]),Table8[[#This Row],[FILE_NAME_2]])</f>
        <v>Find Payments Monte Checks 24-25.xlsx</v>
      </c>
      <c r="Z21" s="9" t="str">
        <f>HYPERLINK(_xlfn.CONCAT(Table8[[#This Row],[Parent]],Table8[[#This Row],[FILE_NAME_3]]),Table8[[#This Row],[FILE_NAME_3]])</f>
        <v>Supplemental Staffing Realized Savings 4.16.25.xlsx</v>
      </c>
    </row>
    <row r="22" spans="1:26" x14ac:dyDescent="0.25">
      <c r="A22">
        <v>88002203</v>
      </c>
      <c r="B22" t="s">
        <v>280</v>
      </c>
      <c r="C22" t="s">
        <v>76</v>
      </c>
      <c r="D22" t="s">
        <v>298</v>
      </c>
      <c r="E22" t="s">
        <v>282</v>
      </c>
      <c r="F22" t="s">
        <v>68</v>
      </c>
      <c r="G22" t="s">
        <v>299</v>
      </c>
      <c r="H22" t="s">
        <v>310</v>
      </c>
      <c r="I22" t="s">
        <v>153</v>
      </c>
      <c r="J22" t="s">
        <v>311</v>
      </c>
      <c r="K22" s="19">
        <v>160615</v>
      </c>
      <c r="L22" s="18">
        <v>160615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 t="s">
        <v>211</v>
      </c>
      <c r="U22" t="s">
        <v>302</v>
      </c>
      <c r="V22" t="s">
        <v>303</v>
      </c>
      <c r="W22" t="s">
        <v>287</v>
      </c>
      <c r="X22" s="9" t="str">
        <f>HYPERLINK(_xlfn.CONCAT(Table8[[#This Row],[Parent]],Table8[[#This Row],[FILE_NAME_1]]),Table8[[#This Row],[FILE_NAME_1]])</f>
        <v>Fastaff MHS Agreement - Nursing.pdf</v>
      </c>
      <c r="Y22" s="9" t="str">
        <f>HYPERLINK(_xlfn.CONCAT(Table8[[#This Row],[Parent]],Table8[[#This Row],[FILE_NAME_2]]),Table8[[#This Row],[FILE_NAME_2]])</f>
        <v>Find Payments Monte Checks 24-25.xlsx</v>
      </c>
      <c r="Z22" s="9" t="str">
        <f>HYPERLINK(_xlfn.CONCAT(Table8[[#This Row],[Parent]],Table8[[#This Row],[FILE_NAME_3]]),Table8[[#This Row],[FILE_NAME_3]])</f>
        <v>Supplemental Staffing Realized Savings 4.16.25.xlsx</v>
      </c>
    </row>
    <row r="23" spans="1:26" x14ac:dyDescent="0.25">
      <c r="A23">
        <v>88002204</v>
      </c>
      <c r="B23" t="s">
        <v>280</v>
      </c>
      <c r="C23" t="s">
        <v>76</v>
      </c>
      <c r="D23" t="s">
        <v>298</v>
      </c>
      <c r="E23" t="s">
        <v>282</v>
      </c>
      <c r="F23" t="s">
        <v>68</v>
      </c>
      <c r="G23" t="s">
        <v>299</v>
      </c>
      <c r="H23" t="s">
        <v>312</v>
      </c>
      <c r="I23" t="s">
        <v>153</v>
      </c>
      <c r="J23" t="s">
        <v>313</v>
      </c>
      <c r="K23" s="19">
        <v>31848</v>
      </c>
      <c r="L23" s="18">
        <v>0</v>
      </c>
      <c r="M23" s="18">
        <v>0</v>
      </c>
      <c r="N23" s="18">
        <v>0</v>
      </c>
      <c r="O23" s="18">
        <v>31848</v>
      </c>
      <c r="P23" s="18">
        <v>0</v>
      </c>
      <c r="Q23" s="18">
        <v>0</v>
      </c>
      <c r="R23" s="18">
        <v>0</v>
      </c>
      <c r="S23" s="18">
        <v>0</v>
      </c>
      <c r="T23" s="18" t="s">
        <v>211</v>
      </c>
      <c r="U23" t="s">
        <v>302</v>
      </c>
      <c r="V23" t="s">
        <v>303</v>
      </c>
      <c r="W23" t="s">
        <v>287</v>
      </c>
      <c r="X23" s="9" t="str">
        <f>HYPERLINK(_xlfn.CONCAT(Table8[[#This Row],[Parent]],Table8[[#This Row],[FILE_NAME_1]]),Table8[[#This Row],[FILE_NAME_1]])</f>
        <v>Fastaff MHS Agreement - Nursing.pdf</v>
      </c>
      <c r="Y23" s="9" t="str">
        <f>HYPERLINK(_xlfn.CONCAT(Table8[[#This Row],[Parent]],Table8[[#This Row],[FILE_NAME_2]]),Table8[[#This Row],[FILE_NAME_2]])</f>
        <v>Find Payments Monte Checks 24-25.xlsx</v>
      </c>
      <c r="Z23" s="9" t="str">
        <f>HYPERLINK(_xlfn.CONCAT(Table8[[#This Row],[Parent]],Table8[[#This Row],[FILE_NAME_3]]),Table8[[#This Row],[FILE_NAME_3]])</f>
        <v>Supplemental Staffing Realized Savings 4.16.25.xlsx</v>
      </c>
    </row>
    <row r="24" spans="1:26" x14ac:dyDescent="0.25">
      <c r="A24">
        <v>88002205</v>
      </c>
      <c r="B24" t="s">
        <v>280</v>
      </c>
      <c r="C24" t="s">
        <v>76</v>
      </c>
      <c r="D24" t="s">
        <v>298</v>
      </c>
      <c r="E24" t="s">
        <v>282</v>
      </c>
      <c r="F24" t="s">
        <v>68</v>
      </c>
      <c r="G24" t="s">
        <v>299</v>
      </c>
      <c r="H24" t="s">
        <v>304</v>
      </c>
      <c r="I24" t="s">
        <v>153</v>
      </c>
      <c r="J24" t="s">
        <v>314</v>
      </c>
      <c r="K24" s="19">
        <v>26475</v>
      </c>
      <c r="L24" s="18">
        <v>0</v>
      </c>
      <c r="M24" s="18">
        <v>0</v>
      </c>
      <c r="N24" s="18">
        <v>0</v>
      </c>
      <c r="O24" s="18">
        <v>26475</v>
      </c>
      <c r="P24" s="18">
        <v>0</v>
      </c>
      <c r="Q24" s="18">
        <v>0</v>
      </c>
      <c r="R24" s="18">
        <v>0</v>
      </c>
      <c r="S24" s="18">
        <v>0</v>
      </c>
      <c r="T24" s="18" t="s">
        <v>211</v>
      </c>
      <c r="U24" t="s">
        <v>302</v>
      </c>
      <c r="V24" t="s">
        <v>303</v>
      </c>
      <c r="W24" t="s">
        <v>287</v>
      </c>
      <c r="X24" s="9" t="str">
        <f>HYPERLINK(_xlfn.CONCAT(Table8[[#This Row],[Parent]],Table8[[#This Row],[FILE_NAME_1]]),Table8[[#This Row],[FILE_NAME_1]])</f>
        <v>Fastaff MHS Agreement - Nursing.pdf</v>
      </c>
      <c r="Y24" s="9" t="str">
        <f>HYPERLINK(_xlfn.CONCAT(Table8[[#This Row],[Parent]],Table8[[#This Row],[FILE_NAME_2]]),Table8[[#This Row],[FILE_NAME_2]])</f>
        <v>Find Payments Monte Checks 24-25.xlsx</v>
      </c>
      <c r="Z24" s="9" t="str">
        <f>HYPERLINK(_xlfn.CONCAT(Table8[[#This Row],[Parent]],Table8[[#This Row],[FILE_NAME_3]]),Table8[[#This Row],[FILE_NAME_3]])</f>
        <v>Supplemental Staffing Realized Savings 4.16.25.xlsx</v>
      </c>
    </row>
    <row r="25" spans="1:26" x14ac:dyDescent="0.25">
      <c r="A25">
        <v>88002206</v>
      </c>
      <c r="B25" t="s">
        <v>280</v>
      </c>
      <c r="C25" t="s">
        <v>76</v>
      </c>
      <c r="D25" t="s">
        <v>298</v>
      </c>
      <c r="E25" t="s">
        <v>282</v>
      </c>
      <c r="F25" t="s">
        <v>68</v>
      </c>
      <c r="G25" t="s">
        <v>299</v>
      </c>
      <c r="H25" t="s">
        <v>315</v>
      </c>
      <c r="I25" t="s">
        <v>153</v>
      </c>
      <c r="J25" t="s">
        <v>316</v>
      </c>
      <c r="K25" s="19">
        <v>28486</v>
      </c>
      <c r="L25" s="18">
        <v>0</v>
      </c>
      <c r="M25" s="18">
        <v>0</v>
      </c>
      <c r="N25" s="18">
        <v>0</v>
      </c>
      <c r="O25" s="18">
        <v>28486</v>
      </c>
      <c r="P25" s="18">
        <v>0</v>
      </c>
      <c r="Q25" s="18">
        <v>0</v>
      </c>
      <c r="R25" s="18">
        <v>0</v>
      </c>
      <c r="S25" s="18">
        <v>0</v>
      </c>
      <c r="T25" s="18" t="s">
        <v>211</v>
      </c>
      <c r="U25" t="s">
        <v>302</v>
      </c>
      <c r="V25" t="s">
        <v>303</v>
      </c>
      <c r="W25" t="s">
        <v>287</v>
      </c>
      <c r="X25" s="9" t="str">
        <f>HYPERLINK(_xlfn.CONCAT(Table8[[#This Row],[Parent]],Table8[[#This Row],[FILE_NAME_1]]),Table8[[#This Row],[FILE_NAME_1]])</f>
        <v>Fastaff MHS Agreement - Nursing.pdf</v>
      </c>
      <c r="Y25" s="9" t="str">
        <f>HYPERLINK(_xlfn.CONCAT(Table8[[#This Row],[Parent]],Table8[[#This Row],[FILE_NAME_2]]),Table8[[#This Row],[FILE_NAME_2]])</f>
        <v>Find Payments Monte Checks 24-25.xlsx</v>
      </c>
      <c r="Z25" s="9" t="str">
        <f>HYPERLINK(_xlfn.CONCAT(Table8[[#This Row],[Parent]],Table8[[#This Row],[FILE_NAME_3]]),Table8[[#This Row],[FILE_NAME_3]])</f>
        <v>Supplemental Staffing Realized Savings 4.16.25.xlsx</v>
      </c>
    </row>
    <row r="26" spans="1:26" x14ac:dyDescent="0.25">
      <c r="A26">
        <v>88002207</v>
      </c>
      <c r="B26" t="s">
        <v>280</v>
      </c>
      <c r="C26" t="s">
        <v>76</v>
      </c>
      <c r="D26" t="s">
        <v>298</v>
      </c>
      <c r="E26" t="s">
        <v>282</v>
      </c>
      <c r="F26" t="s">
        <v>68</v>
      </c>
      <c r="G26" t="s">
        <v>299</v>
      </c>
      <c r="H26" t="s">
        <v>308</v>
      </c>
      <c r="I26" t="s">
        <v>153</v>
      </c>
      <c r="J26" t="s">
        <v>317</v>
      </c>
      <c r="K26" s="19">
        <v>15820</v>
      </c>
      <c r="L26" s="18">
        <v>0</v>
      </c>
      <c r="M26" s="18">
        <v>0</v>
      </c>
      <c r="N26" s="18">
        <v>0</v>
      </c>
      <c r="O26" s="18">
        <v>15820</v>
      </c>
      <c r="P26" s="18">
        <v>0</v>
      </c>
      <c r="Q26" s="18">
        <v>0</v>
      </c>
      <c r="R26" s="18">
        <v>0</v>
      </c>
      <c r="S26" s="18">
        <v>0</v>
      </c>
      <c r="T26" s="18" t="s">
        <v>211</v>
      </c>
      <c r="U26" t="s">
        <v>302</v>
      </c>
      <c r="V26" t="s">
        <v>303</v>
      </c>
      <c r="W26" t="s">
        <v>287</v>
      </c>
      <c r="X26" s="9" t="str">
        <f>HYPERLINK(_xlfn.CONCAT(Table8[[#This Row],[Parent]],Table8[[#This Row],[FILE_NAME_1]]),Table8[[#This Row],[FILE_NAME_1]])</f>
        <v>Fastaff MHS Agreement - Nursing.pdf</v>
      </c>
      <c r="Y26" s="9" t="str">
        <f>HYPERLINK(_xlfn.CONCAT(Table8[[#This Row],[Parent]],Table8[[#This Row],[FILE_NAME_2]]),Table8[[#This Row],[FILE_NAME_2]])</f>
        <v>Find Payments Monte Checks 24-25.xlsx</v>
      </c>
      <c r="Z26" s="9" t="str">
        <f>HYPERLINK(_xlfn.CONCAT(Table8[[#This Row],[Parent]],Table8[[#This Row],[FILE_NAME_3]]),Table8[[#This Row],[FILE_NAME_3]])</f>
        <v>Supplemental Staffing Realized Savings 4.16.25.xlsx</v>
      </c>
    </row>
    <row r="27" spans="1:26" x14ac:dyDescent="0.25">
      <c r="A27">
        <v>88002208</v>
      </c>
      <c r="B27" t="s">
        <v>280</v>
      </c>
      <c r="C27" t="s">
        <v>76</v>
      </c>
      <c r="D27" t="s">
        <v>298</v>
      </c>
      <c r="E27" t="s">
        <v>282</v>
      </c>
      <c r="F27" t="s">
        <v>68</v>
      </c>
      <c r="G27" t="s">
        <v>299</v>
      </c>
      <c r="H27" t="s">
        <v>310</v>
      </c>
      <c r="I27" t="s">
        <v>153</v>
      </c>
      <c r="J27" t="s">
        <v>318</v>
      </c>
      <c r="K27" s="19">
        <v>7332</v>
      </c>
      <c r="L27" s="18">
        <v>0</v>
      </c>
      <c r="M27" s="18">
        <v>0</v>
      </c>
      <c r="N27" s="18">
        <v>0</v>
      </c>
      <c r="O27" s="18">
        <v>7332</v>
      </c>
      <c r="P27" s="18">
        <v>0</v>
      </c>
      <c r="Q27" s="18">
        <v>0</v>
      </c>
      <c r="R27" s="18">
        <v>0</v>
      </c>
      <c r="S27" s="18">
        <v>0</v>
      </c>
      <c r="T27" s="18" t="s">
        <v>211</v>
      </c>
      <c r="U27" t="s">
        <v>302</v>
      </c>
      <c r="V27" t="s">
        <v>303</v>
      </c>
      <c r="W27" t="s">
        <v>287</v>
      </c>
      <c r="X27" s="9" t="str">
        <f>HYPERLINK(_xlfn.CONCAT(Table8[[#This Row],[Parent]],Table8[[#This Row],[FILE_NAME_1]]),Table8[[#This Row],[FILE_NAME_1]])</f>
        <v>Fastaff MHS Agreement - Nursing.pdf</v>
      </c>
      <c r="Y27" s="9" t="str">
        <f>HYPERLINK(_xlfn.CONCAT(Table8[[#This Row],[Parent]],Table8[[#This Row],[FILE_NAME_2]]),Table8[[#This Row],[FILE_NAME_2]])</f>
        <v>Find Payments Monte Checks 24-25.xlsx</v>
      </c>
      <c r="Z27" s="9" t="str">
        <f>HYPERLINK(_xlfn.CONCAT(Table8[[#This Row],[Parent]],Table8[[#This Row],[FILE_NAME_3]]),Table8[[#This Row],[FILE_NAME_3]])</f>
        <v>Supplemental Staffing Realized Savings 4.16.25.xlsx</v>
      </c>
    </row>
    <row r="28" spans="1:26" x14ac:dyDescent="0.25">
      <c r="A28">
        <v>88002209</v>
      </c>
      <c r="B28" t="s">
        <v>280</v>
      </c>
      <c r="C28" t="s">
        <v>76</v>
      </c>
      <c r="D28" t="s">
        <v>298</v>
      </c>
      <c r="E28" t="s">
        <v>282</v>
      </c>
      <c r="F28" t="s">
        <v>68</v>
      </c>
      <c r="G28" t="s">
        <v>299</v>
      </c>
      <c r="H28" t="s">
        <v>312</v>
      </c>
      <c r="I28" t="s">
        <v>153</v>
      </c>
      <c r="J28" t="s">
        <v>319</v>
      </c>
      <c r="K28" s="19">
        <v>57331</v>
      </c>
      <c r="L28" s="18">
        <v>0</v>
      </c>
      <c r="M28" s="18">
        <v>0</v>
      </c>
      <c r="N28" s="18">
        <v>0</v>
      </c>
      <c r="O28" s="18">
        <v>0</v>
      </c>
      <c r="P28" s="18">
        <v>57331</v>
      </c>
      <c r="Q28" s="18">
        <v>0</v>
      </c>
      <c r="R28" s="18">
        <v>0</v>
      </c>
      <c r="S28" s="18">
        <v>0</v>
      </c>
      <c r="T28" s="18" t="s">
        <v>211</v>
      </c>
      <c r="U28" t="s">
        <v>302</v>
      </c>
      <c r="V28" t="s">
        <v>303</v>
      </c>
      <c r="W28" t="s">
        <v>287</v>
      </c>
      <c r="X28" s="9" t="str">
        <f>HYPERLINK(_xlfn.CONCAT(Table8[[#This Row],[Parent]],Table8[[#This Row],[FILE_NAME_1]]),Table8[[#This Row],[FILE_NAME_1]])</f>
        <v>Fastaff MHS Agreement - Nursing.pdf</v>
      </c>
      <c r="Y28" s="9" t="str">
        <f>HYPERLINK(_xlfn.CONCAT(Table8[[#This Row],[Parent]],Table8[[#This Row],[FILE_NAME_2]]),Table8[[#This Row],[FILE_NAME_2]])</f>
        <v>Find Payments Monte Checks 24-25.xlsx</v>
      </c>
      <c r="Z28" s="9" t="str">
        <f>HYPERLINK(_xlfn.CONCAT(Table8[[#This Row],[Parent]],Table8[[#This Row],[FILE_NAME_3]]),Table8[[#This Row],[FILE_NAME_3]])</f>
        <v>Supplemental Staffing Realized Savings 4.16.25.xlsx</v>
      </c>
    </row>
    <row r="29" spans="1:26" x14ac:dyDescent="0.25">
      <c r="A29">
        <v>88002210</v>
      </c>
      <c r="B29" t="s">
        <v>280</v>
      </c>
      <c r="C29" t="s">
        <v>76</v>
      </c>
      <c r="D29" t="s">
        <v>298</v>
      </c>
      <c r="E29" t="s">
        <v>282</v>
      </c>
      <c r="F29" t="s">
        <v>68</v>
      </c>
      <c r="G29" t="s">
        <v>299</v>
      </c>
      <c r="H29" t="s">
        <v>304</v>
      </c>
      <c r="I29" t="s">
        <v>153</v>
      </c>
      <c r="J29" t="s">
        <v>320</v>
      </c>
      <c r="K29" s="19">
        <v>42677</v>
      </c>
      <c r="L29" s="18">
        <v>0</v>
      </c>
      <c r="M29" s="18">
        <v>0</v>
      </c>
      <c r="N29" s="18">
        <v>0</v>
      </c>
      <c r="O29" s="18">
        <v>0</v>
      </c>
      <c r="P29" s="18">
        <v>42677</v>
      </c>
      <c r="Q29" s="18">
        <v>0</v>
      </c>
      <c r="R29" s="18">
        <v>0</v>
      </c>
      <c r="S29" s="18">
        <v>0</v>
      </c>
      <c r="T29" s="18" t="s">
        <v>211</v>
      </c>
      <c r="U29" t="s">
        <v>302</v>
      </c>
      <c r="V29" t="s">
        <v>303</v>
      </c>
      <c r="W29" t="s">
        <v>287</v>
      </c>
      <c r="X29" s="9" t="str">
        <f>HYPERLINK(_xlfn.CONCAT(Table8[[#This Row],[Parent]],Table8[[#This Row],[FILE_NAME_1]]),Table8[[#This Row],[FILE_NAME_1]])</f>
        <v>Fastaff MHS Agreement - Nursing.pdf</v>
      </c>
      <c r="Y29" s="9" t="str">
        <f>HYPERLINK(_xlfn.CONCAT(Table8[[#This Row],[Parent]],Table8[[#This Row],[FILE_NAME_2]]),Table8[[#This Row],[FILE_NAME_2]])</f>
        <v>Find Payments Monte Checks 24-25.xlsx</v>
      </c>
      <c r="Z29" s="9" t="str">
        <f>HYPERLINK(_xlfn.CONCAT(Table8[[#This Row],[Parent]],Table8[[#This Row],[FILE_NAME_3]]),Table8[[#This Row],[FILE_NAME_3]])</f>
        <v>Supplemental Staffing Realized Savings 4.16.25.xlsx</v>
      </c>
    </row>
    <row r="30" spans="1:26" x14ac:dyDescent="0.25">
      <c r="A30">
        <v>88002211</v>
      </c>
      <c r="B30" t="s">
        <v>280</v>
      </c>
      <c r="C30" t="s">
        <v>76</v>
      </c>
      <c r="D30" t="s">
        <v>298</v>
      </c>
      <c r="E30" t="s">
        <v>282</v>
      </c>
      <c r="F30" t="s">
        <v>68</v>
      </c>
      <c r="G30" t="s">
        <v>299</v>
      </c>
      <c r="H30" t="s">
        <v>315</v>
      </c>
      <c r="I30" t="s">
        <v>153</v>
      </c>
      <c r="J30" t="s">
        <v>321</v>
      </c>
      <c r="K30" s="19">
        <v>31370</v>
      </c>
      <c r="L30" s="18">
        <v>0</v>
      </c>
      <c r="M30" s="18">
        <v>0</v>
      </c>
      <c r="N30" s="18">
        <v>0</v>
      </c>
      <c r="O30" s="18">
        <v>0</v>
      </c>
      <c r="P30" s="18">
        <v>31370</v>
      </c>
      <c r="Q30" s="18">
        <v>0</v>
      </c>
      <c r="R30" s="18">
        <v>0</v>
      </c>
      <c r="S30" s="18">
        <v>0</v>
      </c>
      <c r="T30" s="18" t="s">
        <v>211</v>
      </c>
      <c r="U30" t="s">
        <v>302</v>
      </c>
      <c r="V30" t="s">
        <v>303</v>
      </c>
      <c r="W30" t="s">
        <v>287</v>
      </c>
      <c r="X30" s="9" t="str">
        <f>HYPERLINK(_xlfn.CONCAT(Table8[[#This Row],[Parent]],Table8[[#This Row],[FILE_NAME_1]]),Table8[[#This Row],[FILE_NAME_1]])</f>
        <v>Fastaff MHS Agreement - Nursing.pdf</v>
      </c>
      <c r="Y30" s="9" t="str">
        <f>HYPERLINK(_xlfn.CONCAT(Table8[[#This Row],[Parent]],Table8[[#This Row],[FILE_NAME_2]]),Table8[[#This Row],[FILE_NAME_2]])</f>
        <v>Find Payments Monte Checks 24-25.xlsx</v>
      </c>
      <c r="Z30" s="9" t="str">
        <f>HYPERLINK(_xlfn.CONCAT(Table8[[#This Row],[Parent]],Table8[[#This Row],[FILE_NAME_3]]),Table8[[#This Row],[FILE_NAME_3]])</f>
        <v>Supplemental Staffing Realized Savings 4.16.25.xlsx</v>
      </c>
    </row>
    <row r="31" spans="1:26" x14ac:dyDescent="0.25">
      <c r="A31">
        <v>88002212</v>
      </c>
      <c r="B31" t="s">
        <v>280</v>
      </c>
      <c r="C31" t="s">
        <v>76</v>
      </c>
      <c r="D31" t="s">
        <v>298</v>
      </c>
      <c r="E31" t="s">
        <v>282</v>
      </c>
      <c r="F31" t="s">
        <v>68</v>
      </c>
      <c r="G31" t="s">
        <v>299</v>
      </c>
      <c r="H31" t="s">
        <v>308</v>
      </c>
      <c r="I31" t="s">
        <v>153</v>
      </c>
      <c r="J31" t="s">
        <v>322</v>
      </c>
      <c r="K31" s="19">
        <v>18002</v>
      </c>
      <c r="L31" s="18">
        <v>0</v>
      </c>
      <c r="M31" s="18">
        <v>0</v>
      </c>
      <c r="N31" s="18">
        <v>0</v>
      </c>
      <c r="O31" s="18">
        <v>0</v>
      </c>
      <c r="P31" s="18">
        <v>18002</v>
      </c>
      <c r="Q31" s="18">
        <v>0</v>
      </c>
      <c r="R31" s="18">
        <v>0</v>
      </c>
      <c r="S31" s="18">
        <v>0</v>
      </c>
      <c r="T31" s="18" t="s">
        <v>211</v>
      </c>
      <c r="U31" t="s">
        <v>302</v>
      </c>
      <c r="V31" t="s">
        <v>303</v>
      </c>
      <c r="W31" t="s">
        <v>287</v>
      </c>
      <c r="X31" s="9" t="str">
        <f>HYPERLINK(_xlfn.CONCAT(Table8[[#This Row],[Parent]],Table8[[#This Row],[FILE_NAME_1]]),Table8[[#This Row],[FILE_NAME_1]])</f>
        <v>Fastaff MHS Agreement - Nursing.pdf</v>
      </c>
      <c r="Y31" s="9" t="str">
        <f>HYPERLINK(_xlfn.CONCAT(Table8[[#This Row],[Parent]],Table8[[#This Row],[FILE_NAME_2]]),Table8[[#This Row],[FILE_NAME_2]])</f>
        <v>Find Payments Monte Checks 24-25.xlsx</v>
      </c>
      <c r="Z31" s="9" t="str">
        <f>HYPERLINK(_xlfn.CONCAT(Table8[[#This Row],[Parent]],Table8[[#This Row],[FILE_NAME_3]]),Table8[[#This Row],[FILE_NAME_3]])</f>
        <v>Supplemental Staffing Realized Savings 4.16.25.xlsx</v>
      </c>
    </row>
    <row r="32" spans="1:26" x14ac:dyDescent="0.25">
      <c r="A32">
        <v>88002213</v>
      </c>
      <c r="B32" t="s">
        <v>280</v>
      </c>
      <c r="C32" t="s">
        <v>76</v>
      </c>
      <c r="D32" t="s">
        <v>298</v>
      </c>
      <c r="E32" t="s">
        <v>282</v>
      </c>
      <c r="F32" t="s">
        <v>68</v>
      </c>
      <c r="G32" t="s">
        <v>299</v>
      </c>
      <c r="H32" t="s">
        <v>310</v>
      </c>
      <c r="I32" t="s">
        <v>153</v>
      </c>
      <c r="J32" t="s">
        <v>323</v>
      </c>
      <c r="K32" s="19">
        <v>16057</v>
      </c>
      <c r="L32" s="18">
        <v>0</v>
      </c>
      <c r="M32" s="18">
        <v>0</v>
      </c>
      <c r="N32" s="18">
        <v>0</v>
      </c>
      <c r="O32" s="18">
        <v>0</v>
      </c>
      <c r="P32" s="18">
        <v>16057</v>
      </c>
      <c r="Q32" s="18">
        <v>0</v>
      </c>
      <c r="R32" s="18">
        <v>0</v>
      </c>
      <c r="S32" s="18">
        <v>0</v>
      </c>
      <c r="T32" s="18" t="s">
        <v>211</v>
      </c>
      <c r="U32" t="s">
        <v>302</v>
      </c>
      <c r="V32" t="s">
        <v>303</v>
      </c>
      <c r="W32" t="s">
        <v>287</v>
      </c>
      <c r="X32" s="9" t="str">
        <f>HYPERLINK(_xlfn.CONCAT(Table8[[#This Row],[Parent]],Table8[[#This Row],[FILE_NAME_1]]),Table8[[#This Row],[FILE_NAME_1]])</f>
        <v>Fastaff MHS Agreement - Nursing.pdf</v>
      </c>
      <c r="Y32" s="9" t="str">
        <f>HYPERLINK(_xlfn.CONCAT(Table8[[#This Row],[Parent]],Table8[[#This Row],[FILE_NAME_2]]),Table8[[#This Row],[FILE_NAME_2]])</f>
        <v>Find Payments Monte Checks 24-25.xlsx</v>
      </c>
      <c r="Z32" s="9" t="str">
        <f>HYPERLINK(_xlfn.CONCAT(Table8[[#This Row],[Parent]],Table8[[#This Row],[FILE_NAME_3]]),Table8[[#This Row],[FILE_NAME_3]])</f>
        <v>Supplemental Staffing Realized Savings 4.16.25.xlsx</v>
      </c>
    </row>
    <row r="33" spans="1:26" x14ac:dyDescent="0.25">
      <c r="A33">
        <v>88002214</v>
      </c>
      <c r="B33" t="s">
        <v>280</v>
      </c>
      <c r="C33" t="s">
        <v>76</v>
      </c>
      <c r="D33" t="s">
        <v>298</v>
      </c>
      <c r="E33" t="s">
        <v>282</v>
      </c>
      <c r="F33" t="s">
        <v>68</v>
      </c>
      <c r="G33" t="s">
        <v>299</v>
      </c>
      <c r="H33" t="s">
        <v>300</v>
      </c>
      <c r="I33" t="s">
        <v>153</v>
      </c>
      <c r="J33" t="s">
        <v>324</v>
      </c>
      <c r="K33" s="19">
        <v>2626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2626</v>
      </c>
      <c r="R33" s="18">
        <v>0</v>
      </c>
      <c r="S33" s="18">
        <v>0</v>
      </c>
      <c r="T33" s="18" t="s">
        <v>211</v>
      </c>
      <c r="U33" t="s">
        <v>302</v>
      </c>
      <c r="V33" t="s">
        <v>303</v>
      </c>
      <c r="W33" t="s">
        <v>287</v>
      </c>
      <c r="X33" s="9" t="str">
        <f>HYPERLINK(_xlfn.CONCAT(Table8[[#This Row],[Parent]],Table8[[#This Row],[FILE_NAME_1]]),Table8[[#This Row],[FILE_NAME_1]])</f>
        <v>Fastaff MHS Agreement - Nursing.pdf</v>
      </c>
      <c r="Y33" s="9" t="str">
        <f>HYPERLINK(_xlfn.CONCAT(Table8[[#This Row],[Parent]],Table8[[#This Row],[FILE_NAME_2]]),Table8[[#This Row],[FILE_NAME_2]])</f>
        <v>Find Payments Monte Checks 24-25.xlsx</v>
      </c>
      <c r="Z33" s="9" t="str">
        <f>HYPERLINK(_xlfn.CONCAT(Table8[[#This Row],[Parent]],Table8[[#This Row],[FILE_NAME_3]]),Table8[[#This Row],[FILE_NAME_3]])</f>
        <v>Supplemental Staffing Realized Savings 4.16.25.xlsx</v>
      </c>
    </row>
    <row r="34" spans="1:26" x14ac:dyDescent="0.25">
      <c r="A34">
        <v>88002215</v>
      </c>
      <c r="B34" t="s">
        <v>280</v>
      </c>
      <c r="C34" t="s">
        <v>76</v>
      </c>
      <c r="D34" t="s">
        <v>298</v>
      </c>
      <c r="E34" t="s">
        <v>282</v>
      </c>
      <c r="F34" t="s">
        <v>68</v>
      </c>
      <c r="G34" t="s">
        <v>299</v>
      </c>
      <c r="H34" t="s">
        <v>304</v>
      </c>
      <c r="I34" t="s">
        <v>153</v>
      </c>
      <c r="J34" t="s">
        <v>325</v>
      </c>
      <c r="K34" s="19">
        <v>11276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11276</v>
      </c>
      <c r="R34" s="18">
        <v>0</v>
      </c>
      <c r="S34" s="18">
        <v>0</v>
      </c>
      <c r="T34" s="18" t="s">
        <v>211</v>
      </c>
      <c r="U34" t="s">
        <v>302</v>
      </c>
      <c r="V34" t="s">
        <v>303</v>
      </c>
      <c r="W34" t="s">
        <v>287</v>
      </c>
      <c r="X34" s="9" t="str">
        <f>HYPERLINK(_xlfn.CONCAT(Table8[[#This Row],[Parent]],Table8[[#This Row],[FILE_NAME_1]]),Table8[[#This Row],[FILE_NAME_1]])</f>
        <v>Fastaff MHS Agreement - Nursing.pdf</v>
      </c>
      <c r="Y34" s="9" t="str">
        <f>HYPERLINK(_xlfn.CONCAT(Table8[[#This Row],[Parent]],Table8[[#This Row],[FILE_NAME_2]]),Table8[[#This Row],[FILE_NAME_2]])</f>
        <v>Find Payments Monte Checks 24-25.xlsx</v>
      </c>
      <c r="Z34" s="9" t="str">
        <f>HYPERLINK(_xlfn.CONCAT(Table8[[#This Row],[Parent]],Table8[[#This Row],[FILE_NAME_3]]),Table8[[#This Row],[FILE_NAME_3]])</f>
        <v>Supplemental Staffing Realized Savings 4.16.25.xlsx</v>
      </c>
    </row>
    <row r="35" spans="1:26" x14ac:dyDescent="0.25">
      <c r="A35">
        <v>88002216</v>
      </c>
      <c r="B35" t="s">
        <v>280</v>
      </c>
      <c r="C35" t="s">
        <v>76</v>
      </c>
      <c r="D35" t="s">
        <v>298</v>
      </c>
      <c r="E35" t="s">
        <v>282</v>
      </c>
      <c r="F35" t="s">
        <v>68</v>
      </c>
      <c r="G35" t="s">
        <v>299</v>
      </c>
      <c r="H35" t="s">
        <v>306</v>
      </c>
      <c r="I35" t="s">
        <v>153</v>
      </c>
      <c r="J35" t="s">
        <v>326</v>
      </c>
      <c r="K35" s="19">
        <v>8184</v>
      </c>
      <c r="L35" s="18">
        <v>0</v>
      </c>
      <c r="M35" s="18">
        <v>0</v>
      </c>
      <c r="N35" s="18">
        <v>0</v>
      </c>
      <c r="O35" s="18">
        <v>8184</v>
      </c>
      <c r="P35" s="18">
        <v>0</v>
      </c>
      <c r="Q35" s="18">
        <v>0</v>
      </c>
      <c r="R35" s="18">
        <v>0</v>
      </c>
      <c r="S35" s="18">
        <v>0</v>
      </c>
      <c r="T35" s="18" t="s">
        <v>211</v>
      </c>
      <c r="U35" t="s">
        <v>302</v>
      </c>
      <c r="V35" t="s">
        <v>303</v>
      </c>
      <c r="W35" t="s">
        <v>287</v>
      </c>
      <c r="X35" s="9" t="str">
        <f>HYPERLINK(_xlfn.CONCAT(Table8[[#This Row],[Parent]],Table8[[#This Row],[FILE_NAME_1]]),Table8[[#This Row],[FILE_NAME_1]])</f>
        <v>Fastaff MHS Agreement - Nursing.pdf</v>
      </c>
      <c r="Y35" s="9" t="str">
        <f>HYPERLINK(_xlfn.CONCAT(Table8[[#This Row],[Parent]],Table8[[#This Row],[FILE_NAME_2]]),Table8[[#This Row],[FILE_NAME_2]])</f>
        <v>Find Payments Monte Checks 24-25.xlsx</v>
      </c>
      <c r="Z35" s="9" t="str">
        <f>HYPERLINK(_xlfn.CONCAT(Table8[[#This Row],[Parent]],Table8[[#This Row],[FILE_NAME_3]]),Table8[[#This Row],[FILE_NAME_3]])</f>
        <v>Supplemental Staffing Realized Savings 4.16.25.xlsx</v>
      </c>
    </row>
    <row r="36" spans="1:26" x14ac:dyDescent="0.25">
      <c r="A36">
        <v>88002217</v>
      </c>
      <c r="B36" t="s">
        <v>280</v>
      </c>
      <c r="C36" t="s">
        <v>76</v>
      </c>
      <c r="D36" t="s">
        <v>298</v>
      </c>
      <c r="E36" t="s">
        <v>282</v>
      </c>
      <c r="F36" t="s">
        <v>68</v>
      </c>
      <c r="G36" t="s">
        <v>299</v>
      </c>
      <c r="H36" t="s">
        <v>308</v>
      </c>
      <c r="I36" t="s">
        <v>153</v>
      </c>
      <c r="J36" t="s">
        <v>327</v>
      </c>
      <c r="K36" s="19">
        <v>1857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1857</v>
      </c>
      <c r="R36" s="18">
        <v>0</v>
      </c>
      <c r="S36" s="18">
        <v>0</v>
      </c>
      <c r="T36" s="18" t="s">
        <v>211</v>
      </c>
      <c r="U36" t="s">
        <v>302</v>
      </c>
      <c r="V36" t="s">
        <v>303</v>
      </c>
      <c r="W36" t="s">
        <v>287</v>
      </c>
      <c r="X36" s="9" t="str">
        <f>HYPERLINK(_xlfn.CONCAT(Table8[[#This Row],[Parent]],Table8[[#This Row],[FILE_NAME_1]]),Table8[[#This Row],[FILE_NAME_1]])</f>
        <v>Fastaff MHS Agreement - Nursing.pdf</v>
      </c>
      <c r="Y36" s="9" t="str">
        <f>HYPERLINK(_xlfn.CONCAT(Table8[[#This Row],[Parent]],Table8[[#This Row],[FILE_NAME_2]]),Table8[[#This Row],[FILE_NAME_2]])</f>
        <v>Find Payments Monte Checks 24-25.xlsx</v>
      </c>
      <c r="Z36" s="9" t="str">
        <f>HYPERLINK(_xlfn.CONCAT(Table8[[#This Row],[Parent]],Table8[[#This Row],[FILE_NAME_3]]),Table8[[#This Row],[FILE_NAME_3]])</f>
        <v>Supplemental Staffing Realized Savings 4.16.25.xlsx</v>
      </c>
    </row>
    <row r="37" spans="1:26" x14ac:dyDescent="0.25">
      <c r="A37">
        <v>88002218</v>
      </c>
      <c r="B37" t="s">
        <v>280</v>
      </c>
      <c r="C37" t="s">
        <v>76</v>
      </c>
      <c r="D37" t="s">
        <v>298</v>
      </c>
      <c r="E37" t="s">
        <v>282</v>
      </c>
      <c r="F37" t="s">
        <v>68</v>
      </c>
      <c r="G37" t="s">
        <v>299</v>
      </c>
      <c r="H37" t="s">
        <v>310</v>
      </c>
      <c r="I37" t="s">
        <v>153</v>
      </c>
      <c r="J37" t="s">
        <v>328</v>
      </c>
      <c r="K37" s="19">
        <v>1359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1359</v>
      </c>
      <c r="R37" s="18">
        <v>0</v>
      </c>
      <c r="S37" s="18">
        <v>0</v>
      </c>
      <c r="T37" s="18" t="s">
        <v>211</v>
      </c>
      <c r="U37" t="s">
        <v>302</v>
      </c>
      <c r="V37" t="s">
        <v>303</v>
      </c>
      <c r="W37" t="s">
        <v>287</v>
      </c>
      <c r="X37" s="9" t="str">
        <f>HYPERLINK(_xlfn.CONCAT(Table8[[#This Row],[Parent]],Table8[[#This Row],[FILE_NAME_1]]),Table8[[#This Row],[FILE_NAME_1]])</f>
        <v>Fastaff MHS Agreement - Nursing.pdf</v>
      </c>
      <c r="Y37" s="9" t="str">
        <f>HYPERLINK(_xlfn.CONCAT(Table8[[#This Row],[Parent]],Table8[[#This Row],[FILE_NAME_2]]),Table8[[#This Row],[FILE_NAME_2]])</f>
        <v>Find Payments Monte Checks 24-25.xlsx</v>
      </c>
      <c r="Z37" s="9" t="str">
        <f>HYPERLINK(_xlfn.CONCAT(Table8[[#This Row],[Parent]],Table8[[#This Row],[FILE_NAME_3]]),Table8[[#This Row],[FILE_NAME_3]])</f>
        <v>Supplemental Staffing Realized Savings 4.16.25.xlsx</v>
      </c>
    </row>
    <row r="38" spans="1:26" x14ac:dyDescent="0.25">
      <c r="A38">
        <v>88002219</v>
      </c>
      <c r="B38" t="s">
        <v>280</v>
      </c>
      <c r="C38" t="s">
        <v>76</v>
      </c>
      <c r="D38" t="s">
        <v>298</v>
      </c>
      <c r="E38" t="s">
        <v>282</v>
      </c>
      <c r="F38" t="s">
        <v>68</v>
      </c>
      <c r="G38" t="s">
        <v>299</v>
      </c>
      <c r="H38" t="s">
        <v>312</v>
      </c>
      <c r="I38" t="s">
        <v>153</v>
      </c>
      <c r="J38" t="s">
        <v>329</v>
      </c>
      <c r="K38" s="19">
        <v>97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97</v>
      </c>
      <c r="S38" s="18">
        <v>0</v>
      </c>
      <c r="T38" s="18" t="s">
        <v>211</v>
      </c>
      <c r="U38" t="s">
        <v>302</v>
      </c>
      <c r="V38" t="s">
        <v>303</v>
      </c>
      <c r="W38" t="s">
        <v>287</v>
      </c>
      <c r="X38" s="9" t="str">
        <f>HYPERLINK(_xlfn.CONCAT(Table8[[#This Row],[Parent]],Table8[[#This Row],[FILE_NAME_1]]),Table8[[#This Row],[FILE_NAME_1]])</f>
        <v>Fastaff MHS Agreement - Nursing.pdf</v>
      </c>
      <c r="Y38" s="9" t="str">
        <f>HYPERLINK(_xlfn.CONCAT(Table8[[#This Row],[Parent]],Table8[[#This Row],[FILE_NAME_2]]),Table8[[#This Row],[FILE_NAME_2]])</f>
        <v>Find Payments Monte Checks 24-25.xlsx</v>
      </c>
      <c r="Z38" s="9" t="str">
        <f>HYPERLINK(_xlfn.CONCAT(Table8[[#This Row],[Parent]],Table8[[#This Row],[FILE_NAME_3]]),Table8[[#This Row],[FILE_NAME_3]])</f>
        <v>Supplemental Staffing Realized Savings 4.16.25.xlsx</v>
      </c>
    </row>
    <row r="39" spans="1:26" x14ac:dyDescent="0.25">
      <c r="A39">
        <v>88002220</v>
      </c>
      <c r="B39" t="s">
        <v>280</v>
      </c>
      <c r="C39" t="s">
        <v>76</v>
      </c>
      <c r="D39" t="s">
        <v>298</v>
      </c>
      <c r="E39" t="s">
        <v>282</v>
      </c>
      <c r="F39" t="s">
        <v>68</v>
      </c>
      <c r="G39" t="s">
        <v>299</v>
      </c>
      <c r="H39" t="s">
        <v>304</v>
      </c>
      <c r="I39" t="s">
        <v>153</v>
      </c>
      <c r="J39" t="s">
        <v>330</v>
      </c>
      <c r="K39" s="19">
        <v>933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933</v>
      </c>
      <c r="S39" s="18">
        <v>0</v>
      </c>
      <c r="T39" s="18" t="s">
        <v>211</v>
      </c>
      <c r="U39" t="s">
        <v>302</v>
      </c>
      <c r="V39" t="s">
        <v>303</v>
      </c>
      <c r="W39" t="s">
        <v>287</v>
      </c>
      <c r="X39" s="9" t="str">
        <f>HYPERLINK(_xlfn.CONCAT(Table8[[#This Row],[Parent]],Table8[[#This Row],[FILE_NAME_1]]),Table8[[#This Row],[FILE_NAME_1]])</f>
        <v>Fastaff MHS Agreement - Nursing.pdf</v>
      </c>
      <c r="Y39" s="9" t="str">
        <f>HYPERLINK(_xlfn.CONCAT(Table8[[#This Row],[Parent]],Table8[[#This Row],[FILE_NAME_2]]),Table8[[#This Row],[FILE_NAME_2]])</f>
        <v>Find Payments Monte Checks 24-25.xlsx</v>
      </c>
      <c r="Z39" s="9" t="str">
        <f>HYPERLINK(_xlfn.CONCAT(Table8[[#This Row],[Parent]],Table8[[#This Row],[FILE_NAME_3]]),Table8[[#This Row],[FILE_NAME_3]])</f>
        <v>Supplemental Staffing Realized Savings 4.16.25.xlsx</v>
      </c>
    </row>
    <row r="40" spans="1:26" x14ac:dyDescent="0.25">
      <c r="A40">
        <v>88002221</v>
      </c>
      <c r="B40" t="s">
        <v>280</v>
      </c>
      <c r="C40" t="s">
        <v>76</v>
      </c>
      <c r="D40" t="s">
        <v>298</v>
      </c>
      <c r="E40" t="s">
        <v>282</v>
      </c>
      <c r="F40" t="s">
        <v>68</v>
      </c>
      <c r="G40" t="s">
        <v>299</v>
      </c>
      <c r="H40" t="s">
        <v>315</v>
      </c>
      <c r="I40" t="s">
        <v>153</v>
      </c>
      <c r="J40" t="s">
        <v>331</v>
      </c>
      <c r="K40" s="19">
        <v>411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411</v>
      </c>
      <c r="S40" s="18">
        <v>0</v>
      </c>
      <c r="T40" s="18" t="s">
        <v>211</v>
      </c>
      <c r="U40" t="s">
        <v>302</v>
      </c>
      <c r="V40" t="s">
        <v>303</v>
      </c>
      <c r="W40" t="s">
        <v>287</v>
      </c>
      <c r="X40" s="9" t="str">
        <f>HYPERLINK(_xlfn.CONCAT(Table8[[#This Row],[Parent]],Table8[[#This Row],[FILE_NAME_1]]),Table8[[#This Row],[FILE_NAME_1]])</f>
        <v>Fastaff MHS Agreement - Nursing.pdf</v>
      </c>
      <c r="Y40" s="9" t="str">
        <f>HYPERLINK(_xlfn.CONCAT(Table8[[#This Row],[Parent]],Table8[[#This Row],[FILE_NAME_2]]),Table8[[#This Row],[FILE_NAME_2]])</f>
        <v>Find Payments Monte Checks 24-25.xlsx</v>
      </c>
      <c r="Z40" s="9" t="str">
        <f>HYPERLINK(_xlfn.CONCAT(Table8[[#This Row],[Parent]],Table8[[#This Row],[FILE_NAME_3]]),Table8[[#This Row],[FILE_NAME_3]])</f>
        <v>Supplemental Staffing Realized Savings 4.16.25.xlsx</v>
      </c>
    </row>
    <row r="41" spans="1:26" x14ac:dyDescent="0.25">
      <c r="A41">
        <v>88002223</v>
      </c>
      <c r="B41" t="s">
        <v>332</v>
      </c>
      <c r="C41" t="s">
        <v>76</v>
      </c>
      <c r="D41" t="s">
        <v>99</v>
      </c>
      <c r="E41" t="s">
        <v>242</v>
      </c>
      <c r="F41" t="s">
        <v>102</v>
      </c>
      <c r="G41" t="s">
        <v>77</v>
      </c>
      <c r="H41" t="s">
        <v>333</v>
      </c>
      <c r="I41" t="s">
        <v>153</v>
      </c>
      <c r="J41" t="s">
        <v>334</v>
      </c>
      <c r="K41" s="19">
        <v>67647</v>
      </c>
      <c r="L41" s="18">
        <v>67647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 t="s">
        <v>211</v>
      </c>
      <c r="U41" t="s">
        <v>335</v>
      </c>
      <c r="X41" s="9" t="str">
        <f>HYPERLINK(_xlfn.CONCAT(Table8[[#This Row],[Parent]],Table8[[#This Row],[FILE_NAME_1]]),Table8[[#This Row],[FILE_NAME_1]])</f>
        <v>U.S.Foods rebate.pdf</v>
      </c>
      <c r="Y41" s="9"/>
      <c r="Z41" s="9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3"/>
  <sheetViews>
    <sheetView workbookViewId="0">
      <selection activeCell="C36" sqref="C36"/>
    </sheetView>
  </sheetViews>
  <sheetFormatPr defaultRowHeight="15" x14ac:dyDescent="0.25"/>
  <cols>
    <col min="1" max="1" width="10.85546875" customWidth="1"/>
    <col min="2" max="2" width="19.85546875" customWidth="1"/>
    <col min="3" max="3" width="14.28515625" customWidth="1"/>
    <col min="4" max="4" width="17.7109375" customWidth="1"/>
    <col min="5" max="5" width="11.5703125" customWidth="1"/>
    <col min="6" max="6" width="7.7109375" customWidth="1"/>
    <col min="7" max="7" width="14.5703125" customWidth="1"/>
    <col min="8" max="8" width="19.42578125" customWidth="1"/>
    <col min="9" max="9" width="21.5703125" customWidth="1"/>
    <col min="10" max="10" width="15.7109375" customWidth="1"/>
    <col min="11" max="11" width="15.85546875" customWidth="1"/>
    <col min="12" max="12" width="13.85546875" bestFit="1" customWidth="1"/>
    <col min="13" max="13" width="14.7109375" customWidth="1"/>
    <col min="14" max="14" width="15.28515625" customWidth="1"/>
    <col min="15" max="15" width="14.42578125" customWidth="1"/>
    <col min="16" max="16" width="14.140625" customWidth="1"/>
    <col min="17" max="17" width="14.85546875" customWidth="1"/>
    <col min="18" max="18" width="13.7109375" customWidth="1"/>
    <col min="19" max="19" width="13.28515625" customWidth="1"/>
    <col min="20" max="20" width="18.5703125" hidden="1" customWidth="1"/>
    <col min="21" max="21" width="21.5703125" hidden="1" customWidth="1"/>
    <col min="22" max="22" width="65.28515625" bestFit="1" customWidth="1"/>
    <col min="23" max="23" width="28" hidden="1" customWidth="1"/>
    <col min="24" max="24" width="65.5703125" bestFit="1" customWidth="1"/>
    <col min="25" max="25" width="65.5703125" hidden="1" customWidth="1"/>
    <col min="26" max="26" width="70.42578125" bestFit="1" customWidth="1"/>
    <col min="27" max="29" width="13.7109375" hidden="1" customWidth="1"/>
  </cols>
  <sheetData>
    <row r="1" spans="1:29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336</v>
      </c>
      <c r="U1" t="s">
        <v>337</v>
      </c>
      <c r="V1" t="s">
        <v>201</v>
      </c>
      <c r="W1" t="s">
        <v>338</v>
      </c>
      <c r="X1" t="s">
        <v>202</v>
      </c>
      <c r="Y1" t="s">
        <v>339</v>
      </c>
      <c r="Z1" t="s">
        <v>203</v>
      </c>
      <c r="AA1" t="s">
        <v>204</v>
      </c>
      <c r="AB1" t="s">
        <v>205</v>
      </c>
      <c r="AC1" t="s">
        <v>206</v>
      </c>
    </row>
    <row r="2" spans="1:29" x14ac:dyDescent="0.25">
      <c r="A2">
        <v>88002153</v>
      </c>
      <c r="B2" t="s">
        <v>340</v>
      </c>
      <c r="C2" t="s">
        <v>76</v>
      </c>
      <c r="D2" t="s">
        <v>95</v>
      </c>
      <c r="E2" t="s">
        <v>58</v>
      </c>
      <c r="F2" t="s">
        <v>68</v>
      </c>
      <c r="G2" t="s">
        <v>97</v>
      </c>
      <c r="H2" t="s">
        <v>341</v>
      </c>
      <c r="I2" t="s">
        <v>266</v>
      </c>
      <c r="J2" t="s">
        <v>342</v>
      </c>
      <c r="K2" s="19">
        <v>173000</v>
      </c>
      <c r="L2" s="18">
        <v>143000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30000</v>
      </c>
      <c r="T2" t="s">
        <v>211</v>
      </c>
      <c r="U2" t="s">
        <v>343</v>
      </c>
      <c r="V2" s="9" t="str">
        <f>HYPERLINK(Table7[[#This Row],[Column1]])</f>
        <v>Rebate_Attachments\Medtronic MHS Structural Heart Credit Memo 2.18.25.pdf</v>
      </c>
      <c r="W2" t="s">
        <v>344</v>
      </c>
      <c r="X2" s="9" t="str">
        <f>HYPERLINK(Table7[[#This Row],[FILE_NAME_12]])</f>
        <v>Rebate_Attachments\Medtronic WPH Structural Heart Credit Memo 2.18.25.pdf</v>
      </c>
      <c r="Y2" t="s">
        <v>345</v>
      </c>
      <c r="Z2" s="9" t="str">
        <f>HYPERLINK(Table7[[#This Row],[Column2]])</f>
        <v>Rebate_Attachments\MHS Medtronic Structural Heart Rebaet Breakdown 2.18.25.xlsx</v>
      </c>
    </row>
    <row r="3" spans="1:29" x14ac:dyDescent="0.25">
      <c r="A3">
        <v>88002157</v>
      </c>
      <c r="B3" t="s">
        <v>346</v>
      </c>
      <c r="C3" t="s">
        <v>76</v>
      </c>
      <c r="D3" t="s">
        <v>70</v>
      </c>
      <c r="E3" t="s">
        <v>58</v>
      </c>
      <c r="F3" t="s">
        <v>68</v>
      </c>
      <c r="G3" t="s">
        <v>67</v>
      </c>
      <c r="H3" t="s">
        <v>347</v>
      </c>
      <c r="I3" t="s">
        <v>266</v>
      </c>
      <c r="J3" t="s">
        <v>348</v>
      </c>
      <c r="K3" s="19">
        <v>82500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82500</v>
      </c>
      <c r="T3" t="s">
        <v>211</v>
      </c>
      <c r="U3" t="s">
        <v>349</v>
      </c>
      <c r="V3" s="9" t="str">
        <f>HYPERLINK(Table7[[#This Row],[Column1]])</f>
        <v>Rebate_Attachments\Edwards TAVR Rebate INFO 3.5.25.pdf</v>
      </c>
      <c r="W3" t="s">
        <v>350</v>
      </c>
      <c r="X3" s="9" t="str">
        <f>HYPERLINK(Table7[[#This Row],[FILE_NAME_12]])</f>
        <v>Rebate_Attachments\White Plains Edwards TAVR Rebate 3.5.25.pdf</v>
      </c>
      <c r="Z3" s="9"/>
    </row>
    <row r="4" spans="1:29" x14ac:dyDescent="0.25">
      <c r="A4">
        <v>88002159</v>
      </c>
      <c r="B4" t="s">
        <v>351</v>
      </c>
      <c r="C4" t="s">
        <v>352</v>
      </c>
      <c r="D4" t="s">
        <v>353</v>
      </c>
      <c r="E4" t="s">
        <v>136</v>
      </c>
      <c r="F4" t="s">
        <v>68</v>
      </c>
      <c r="G4" t="s">
        <v>354</v>
      </c>
      <c r="H4" t="s">
        <v>355</v>
      </c>
      <c r="I4" t="s">
        <v>218</v>
      </c>
      <c r="J4" t="s">
        <v>356</v>
      </c>
      <c r="K4" s="19">
        <v>292463</v>
      </c>
      <c r="L4" s="18">
        <v>208679</v>
      </c>
      <c r="M4" s="18">
        <v>7163</v>
      </c>
      <c r="N4" s="18">
        <v>206</v>
      </c>
      <c r="O4" s="18">
        <v>5498</v>
      </c>
      <c r="P4" s="18">
        <v>6599</v>
      </c>
      <c r="Q4" s="18">
        <v>10093</v>
      </c>
      <c r="R4" s="18">
        <v>14780</v>
      </c>
      <c r="S4" s="18">
        <v>39445</v>
      </c>
      <c r="T4" t="s">
        <v>211</v>
      </c>
      <c r="U4" t="s">
        <v>357</v>
      </c>
      <c r="V4" s="9" t="str">
        <f>HYPERLINK(Table7[[#This Row],[Column1]])</f>
        <v>Rebate_Attachments\Saving tracker - Q4 2024- source rebate.xlsx</v>
      </c>
      <c r="X4" s="9"/>
      <c r="Z4" s="9"/>
    </row>
    <row r="5" spans="1:29" x14ac:dyDescent="0.25">
      <c r="A5">
        <v>88002160</v>
      </c>
      <c r="B5" t="s">
        <v>358</v>
      </c>
      <c r="C5" t="s">
        <v>76</v>
      </c>
      <c r="D5" t="s">
        <v>353</v>
      </c>
      <c r="E5" t="s">
        <v>136</v>
      </c>
      <c r="F5" t="s">
        <v>68</v>
      </c>
      <c r="G5" t="s">
        <v>354</v>
      </c>
      <c r="H5" t="s">
        <v>359</v>
      </c>
      <c r="I5" t="s">
        <v>218</v>
      </c>
      <c r="J5" t="s">
        <v>360</v>
      </c>
      <c r="K5" s="19">
        <v>3000000</v>
      </c>
      <c r="L5" s="18">
        <v>2145833</v>
      </c>
      <c r="M5" s="18">
        <v>10688</v>
      </c>
      <c r="N5" s="18">
        <v>2536</v>
      </c>
      <c r="O5" s="18">
        <v>10388</v>
      </c>
      <c r="P5" s="18">
        <v>18083</v>
      </c>
      <c r="Q5" s="18">
        <v>211654</v>
      </c>
      <c r="R5" s="18">
        <v>87266</v>
      </c>
      <c r="S5" s="18">
        <v>513552</v>
      </c>
      <c r="T5" t="s">
        <v>211</v>
      </c>
      <c r="U5" t="s">
        <v>361</v>
      </c>
      <c r="V5" s="9" t="str">
        <f>HYPERLINK(Table7[[#This Row],[Column1]])</f>
        <v>Rebate_Attachments\Saving tracker - Q4 2024- annual volume rebate.xlsx</v>
      </c>
      <c r="X5" s="9"/>
      <c r="Z5" s="9"/>
    </row>
    <row r="6" spans="1:29" x14ac:dyDescent="0.25">
      <c r="A6">
        <v>88002161</v>
      </c>
      <c r="B6" t="s">
        <v>362</v>
      </c>
      <c r="C6" t="s">
        <v>64</v>
      </c>
      <c r="D6" t="s">
        <v>353</v>
      </c>
      <c r="E6" t="s">
        <v>136</v>
      </c>
      <c r="F6" t="s">
        <v>68</v>
      </c>
      <c r="G6" t="s">
        <v>354</v>
      </c>
      <c r="H6" t="s">
        <v>363</v>
      </c>
      <c r="I6" t="s">
        <v>266</v>
      </c>
      <c r="J6" t="s">
        <v>364</v>
      </c>
      <c r="K6" s="19">
        <v>261706</v>
      </c>
      <c r="L6" s="18">
        <v>178451</v>
      </c>
      <c r="M6" s="18">
        <v>67</v>
      </c>
      <c r="N6" s="18">
        <v>65</v>
      </c>
      <c r="O6" s="18">
        <v>1552</v>
      </c>
      <c r="P6" s="18">
        <v>152</v>
      </c>
      <c r="Q6" s="18">
        <v>24159</v>
      </c>
      <c r="R6" s="18">
        <v>6807</v>
      </c>
      <c r="S6" s="18">
        <v>50453</v>
      </c>
      <c r="T6" t="s">
        <v>211</v>
      </c>
      <c r="U6" t="s">
        <v>365</v>
      </c>
      <c r="V6" s="9" t="str">
        <f>HYPERLINK(Table7[[#This Row],[Column1]])</f>
        <v>Rebate_Attachments\Saving tracker - Q4 2024- SPD - credit memo by site.xlsx</v>
      </c>
      <c r="X6" s="9"/>
      <c r="Z6" s="9"/>
    </row>
    <row r="7" spans="1:29" x14ac:dyDescent="0.25">
      <c r="A7">
        <v>88002162</v>
      </c>
      <c r="B7" t="s">
        <v>346</v>
      </c>
      <c r="C7" t="s">
        <v>76</v>
      </c>
      <c r="D7" t="s">
        <v>70</v>
      </c>
      <c r="E7" t="s">
        <v>58</v>
      </c>
      <c r="F7" t="s">
        <v>68</v>
      </c>
      <c r="G7" t="s">
        <v>67</v>
      </c>
      <c r="H7" t="s">
        <v>366</v>
      </c>
      <c r="I7" t="s">
        <v>218</v>
      </c>
      <c r="J7" t="s">
        <v>367</v>
      </c>
      <c r="K7" s="19">
        <v>62500</v>
      </c>
      <c r="L7" s="18">
        <v>62500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t="s">
        <v>211</v>
      </c>
      <c r="U7" t="s">
        <v>368</v>
      </c>
      <c r="V7" s="9" t="str">
        <f>HYPERLINK(Table7[[#This Row],[Column1]])</f>
        <v>Rebate_Attachments\Edwards MMC TAVR ACH Payment 3.11.25.PNG</v>
      </c>
      <c r="W7" t="s">
        <v>349</v>
      </c>
      <c r="X7" s="9" t="str">
        <f>HYPERLINK(Table7[[#This Row],[FILE_NAME_12]])</f>
        <v>Rebate_Attachments\Edwards TAVR Rebate INFO 3.5.25.pdf</v>
      </c>
      <c r="Y7" t="s">
        <v>369</v>
      </c>
      <c r="Z7" s="9" t="str">
        <f>HYPERLINK(Table7[[#This Row],[Column2]])</f>
        <v>Rebate_Attachments\MMC Edwards TAVR Rebate 3.5.25.pdf</v>
      </c>
    </row>
    <row r="12" spans="1:29" x14ac:dyDescent="0.25">
      <c r="P12" s="20"/>
    </row>
    <row r="13" spans="1:29" x14ac:dyDescent="0.25">
      <c r="P13" s="20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1"/>
  <sheetViews>
    <sheetView workbookViewId="0">
      <selection activeCell="J41" sqref="J41"/>
    </sheetView>
  </sheetViews>
  <sheetFormatPr defaultRowHeight="15" x14ac:dyDescent="0.25"/>
  <cols>
    <col min="1" max="1" width="12.140625" customWidth="1"/>
    <col min="2" max="2" width="15.28515625" customWidth="1"/>
    <col min="3" max="3" width="14.28515625" customWidth="1"/>
    <col min="4" max="4" width="17.7109375" customWidth="1"/>
    <col min="5" max="5" width="18.28515625" customWidth="1"/>
    <col min="6" max="6" width="8.7109375" customWidth="1"/>
    <col min="7" max="7" width="14.5703125" customWidth="1"/>
    <col min="8" max="8" width="20" bestFit="1" customWidth="1"/>
    <col min="9" max="9" width="14.28515625" customWidth="1"/>
    <col min="10" max="10" width="15.7109375" customWidth="1"/>
    <col min="11" max="11" width="15.85546875" customWidth="1"/>
    <col min="12" max="12" width="13.85546875" bestFit="1" customWidth="1"/>
    <col min="13" max="13" width="14.7109375" customWidth="1"/>
    <col min="14" max="14" width="15.28515625" customWidth="1"/>
    <col min="15" max="15" width="14.42578125" customWidth="1"/>
    <col min="16" max="16" width="14.140625" customWidth="1"/>
    <col min="17" max="17" width="14.85546875" customWidth="1"/>
    <col min="18" max="18" width="13.7109375" customWidth="1"/>
    <col min="19" max="19" width="13.5703125" bestFit="1" customWidth="1"/>
    <col min="20" max="20" width="18.5703125" hidden="1" customWidth="1"/>
    <col min="21" max="21" width="37.28515625" hidden="1" customWidth="1"/>
    <col min="22" max="22" width="76.7109375" hidden="1" customWidth="1"/>
    <col min="23" max="23" width="76.7109375" bestFit="1" customWidth="1"/>
    <col min="24" max="24" width="96.7109375" bestFit="1" customWidth="1"/>
    <col min="25" max="25" width="54.7109375" hidden="1" customWidth="1"/>
    <col min="26" max="26" width="24.7109375" hidden="1" customWidth="1"/>
    <col min="27" max="27" width="78.85546875" hidden="1" customWidth="1"/>
    <col min="28" max="28" width="78.85546875" customWidth="1"/>
    <col min="29" max="29" width="60.28515625" hidden="1" customWidth="1"/>
    <col min="30" max="30" width="60.28515625" bestFit="1" customWidth="1"/>
    <col min="31" max="31" width="41" hidden="1" customWidth="1"/>
    <col min="32" max="32" width="61.7109375" bestFit="1" customWidth="1"/>
    <col min="33" max="33" width="43.85546875" hidden="1" customWidth="1"/>
    <col min="34" max="34" width="43.85546875" bestFit="1" customWidth="1"/>
    <col min="36" max="39" width="13.28515625" customWidth="1"/>
  </cols>
  <sheetData>
    <row r="1" spans="1:33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370</v>
      </c>
      <c r="U1" t="s">
        <v>201</v>
      </c>
      <c r="V1" t="s">
        <v>338</v>
      </c>
      <c r="W1" t="s">
        <v>204</v>
      </c>
      <c r="X1" t="s">
        <v>371</v>
      </c>
      <c r="Y1" t="s">
        <v>205</v>
      </c>
      <c r="Z1" t="s">
        <v>202</v>
      </c>
      <c r="AA1" t="s">
        <v>206</v>
      </c>
      <c r="AB1" t="s">
        <v>372</v>
      </c>
      <c r="AC1" t="s">
        <v>203</v>
      </c>
      <c r="AD1" t="s">
        <v>373</v>
      </c>
      <c r="AE1" t="s">
        <v>374</v>
      </c>
      <c r="AF1" t="s">
        <v>375</v>
      </c>
      <c r="AG1" t="s">
        <v>376</v>
      </c>
    </row>
    <row r="2" spans="1:33" x14ac:dyDescent="0.25">
      <c r="A2">
        <v>88002133</v>
      </c>
      <c r="B2" t="s">
        <v>377</v>
      </c>
      <c r="C2" t="s">
        <v>76</v>
      </c>
      <c r="D2" t="s">
        <v>112</v>
      </c>
      <c r="E2" t="s">
        <v>58</v>
      </c>
      <c r="F2" t="s">
        <v>68</v>
      </c>
      <c r="G2" t="s">
        <v>114</v>
      </c>
      <c r="H2" t="s">
        <v>378</v>
      </c>
      <c r="I2" t="s">
        <v>218</v>
      </c>
      <c r="J2" t="s">
        <v>379</v>
      </c>
      <c r="K2" s="19">
        <v>29700</v>
      </c>
      <c r="L2" s="18">
        <v>18000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11700</v>
      </c>
      <c r="T2" t="s">
        <v>211</v>
      </c>
      <c r="U2" t="s">
        <v>380</v>
      </c>
      <c r="V2" t="s">
        <v>381</v>
      </c>
      <c r="W2" s="9" t="str">
        <f>HYPERLINK(Table6[[#This Row],[FILE_NAME_12]])</f>
        <v>Rebate_Attachments\BW Collection ACH Payment Confirmation 1.8.25.pdf</v>
      </c>
      <c r="X2" s="9" t="str">
        <f>HYPERLINK(Table6[[#This Row],[FILE_PATH_2]])</f>
        <v>Rebate_Attachments\MontefioreHealthSys_10500_1018600_BWI_BUYBACK_IDN_24090208_9-26-2024_Executed .pdf</v>
      </c>
      <c r="Y2" t="s">
        <v>382</v>
      </c>
      <c r="Z2" t="s">
        <v>383</v>
      </c>
      <c r="AA2" t="s">
        <v>384</v>
      </c>
      <c r="AB2" s="9" t="str">
        <f>HYPERLINK(Table6[[#This Row],[FILE_PATH_3]])</f>
        <v>Rebate_Attachments\Rebate Analysis BWI Buyback Montefiore Medical Center 3Q24_CUST.xlsx</v>
      </c>
      <c r="AC2" t="s">
        <v>385</v>
      </c>
      <c r="AD2" s="9"/>
      <c r="AF2" s="9"/>
    </row>
    <row r="3" spans="1:33" x14ac:dyDescent="0.25">
      <c r="A3">
        <v>88002134</v>
      </c>
      <c r="B3" t="s">
        <v>386</v>
      </c>
      <c r="C3" t="s">
        <v>387</v>
      </c>
      <c r="D3" t="s">
        <v>259</v>
      </c>
      <c r="E3" t="s">
        <v>58</v>
      </c>
      <c r="F3" t="s">
        <v>68</v>
      </c>
      <c r="G3" t="s">
        <v>114</v>
      </c>
      <c r="H3" t="s">
        <v>388</v>
      </c>
      <c r="I3" t="s">
        <v>218</v>
      </c>
      <c r="J3" t="s">
        <v>389</v>
      </c>
      <c r="K3" s="19">
        <v>2623</v>
      </c>
      <c r="L3" s="18">
        <v>1401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1222</v>
      </c>
      <c r="T3" t="s">
        <v>211</v>
      </c>
      <c r="U3" t="s">
        <v>390</v>
      </c>
      <c r="V3" t="s">
        <v>391</v>
      </c>
      <c r="W3" s="9" t="str">
        <f>HYPERLINK(Table6[[#This Row],[FILE_NAME_12]])</f>
        <v>Rebate_Attachments\Biosense Webster EP Platinum Tip Recycling Program Agmt 1.31.24.pdf</v>
      </c>
      <c r="X3" s="9" t="str">
        <f>HYPERLINK(Table6[[#This Row],[FILE_PATH_2]])</f>
        <v>Rebate_Attachments\EP TIP Payment Advice Note from 12312024.pdf</v>
      </c>
      <c r="Y3" t="s">
        <v>392</v>
      </c>
      <c r="Z3" t="s">
        <v>393</v>
      </c>
      <c r="AA3" t="s">
        <v>394</v>
      </c>
      <c r="AB3" s="9" t="str">
        <f>HYPERLINK(Table6[[#This Row],[FILE_PATH_3]])</f>
        <v>Rebate_Attachments\Rebate Analysis EP TIP Montefiore Medical Center 3Q24_CUST.xlsx</v>
      </c>
      <c r="AC3" t="s">
        <v>395</v>
      </c>
      <c r="AD3" s="9"/>
      <c r="AF3" s="9"/>
    </row>
    <row r="4" spans="1:33" x14ac:dyDescent="0.25">
      <c r="A4">
        <v>88002139</v>
      </c>
      <c r="B4" t="s">
        <v>396</v>
      </c>
      <c r="C4" t="s">
        <v>76</v>
      </c>
      <c r="D4" t="s">
        <v>397</v>
      </c>
      <c r="E4" t="s">
        <v>58</v>
      </c>
      <c r="F4" t="s">
        <v>68</v>
      </c>
      <c r="G4" t="s">
        <v>398</v>
      </c>
      <c r="H4" t="s">
        <v>399</v>
      </c>
      <c r="I4" t="s">
        <v>266</v>
      </c>
      <c r="J4" t="s">
        <v>400</v>
      </c>
      <c r="K4" s="19">
        <v>45400</v>
      </c>
      <c r="L4" s="18">
        <v>29550</v>
      </c>
      <c r="M4" s="18">
        <v>0</v>
      </c>
      <c r="N4" s="18">
        <v>0</v>
      </c>
      <c r="O4" s="18">
        <v>0</v>
      </c>
      <c r="P4" s="18">
        <v>0</v>
      </c>
      <c r="Q4" s="18">
        <v>1900</v>
      </c>
      <c r="R4" s="18">
        <v>3800</v>
      </c>
      <c r="S4" s="18">
        <v>10150</v>
      </c>
      <c r="T4" t="s">
        <v>211</v>
      </c>
      <c r="U4" t="s">
        <v>401</v>
      </c>
      <c r="V4" t="s">
        <v>402</v>
      </c>
      <c r="W4" s="9" t="str">
        <f>HYPERLINK(Table6[[#This Row],[FILE_NAME_12]])</f>
        <v>Rebate_Attachments\Medtronic DES MHS and Nyack Credit Memo 1.14.25.pdf</v>
      </c>
      <c r="X4" s="9" t="str">
        <f>HYPERLINK(Table6[[#This Row],[FILE_PATH_2]])</f>
        <v>Rebate_Attachments\Medtronic DES Rebate Facility Breakdown 1.14.25.xlsx</v>
      </c>
      <c r="Y4" t="s">
        <v>403</v>
      </c>
      <c r="Z4" t="s">
        <v>404</v>
      </c>
      <c r="AA4" t="s">
        <v>405</v>
      </c>
      <c r="AB4" s="9" t="str">
        <f>HYPERLINK(Table6[[#This Row],[FILE_PATH_3]])</f>
        <v>Rebate_Attachments\Medtronic DES Rebate Info from Contract 1.14.25.pdf</v>
      </c>
      <c r="AC4" t="s">
        <v>406</v>
      </c>
      <c r="AD4" s="9" t="str">
        <f>HYPERLINK(Table6[[#This Row],[FILE_NAME_4]])</f>
        <v>Rebate_Attachments\Medtronic DES St. Lukes Credit Memo 1.14.25.pdf</v>
      </c>
      <c r="AE4" t="s">
        <v>407</v>
      </c>
      <c r="AF4" s="9" t="str">
        <f>HYPERLINK(Table6[[#This Row],[FILE_NAME_5]])</f>
        <v>Rebate_Attachments\Medtronic DES White Plains Credit Memo 1.14.25.pdf</v>
      </c>
      <c r="AG4" t="s">
        <v>408</v>
      </c>
    </row>
    <row r="5" spans="1:33" x14ac:dyDescent="0.25">
      <c r="A5">
        <v>88002140</v>
      </c>
      <c r="B5" t="s">
        <v>409</v>
      </c>
      <c r="C5" t="s">
        <v>64</v>
      </c>
      <c r="D5" t="s">
        <v>89</v>
      </c>
      <c r="E5" t="s">
        <v>88</v>
      </c>
      <c r="F5" t="s">
        <v>68</v>
      </c>
      <c r="G5" t="s">
        <v>91</v>
      </c>
      <c r="H5" t="s">
        <v>410</v>
      </c>
      <c r="I5" t="s">
        <v>153</v>
      </c>
      <c r="J5" t="s">
        <v>411</v>
      </c>
      <c r="K5" s="19">
        <v>5900000</v>
      </c>
      <c r="L5" s="18">
        <v>5900000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t="s">
        <v>211</v>
      </c>
      <c r="U5" t="s">
        <v>412</v>
      </c>
      <c r="V5" t="s">
        <v>413</v>
      </c>
      <c r="W5" s="9" t="str">
        <f>HYPERLINK(Table6[[#This Row],[FILE_NAME_12]])</f>
        <v>Rebate_Attachments\Medline 8-15-2024 to 12-15-2024 Rebate.xlsx</v>
      </c>
      <c r="X5" s="9"/>
      <c r="AB5" s="9"/>
      <c r="AD5" s="9"/>
      <c r="AF5" s="9"/>
    </row>
    <row r="6" spans="1:33" x14ac:dyDescent="0.25">
      <c r="A6">
        <v>88002142</v>
      </c>
      <c r="B6" t="s">
        <v>414</v>
      </c>
      <c r="C6" t="s">
        <v>64</v>
      </c>
      <c r="D6" t="s">
        <v>135</v>
      </c>
      <c r="E6" t="s">
        <v>242</v>
      </c>
      <c r="F6" t="s">
        <v>102</v>
      </c>
      <c r="G6" t="s">
        <v>137</v>
      </c>
      <c r="H6" t="s">
        <v>415</v>
      </c>
      <c r="I6" t="s">
        <v>266</v>
      </c>
      <c r="J6" t="s">
        <v>416</v>
      </c>
      <c r="K6" s="19">
        <v>2195181</v>
      </c>
      <c r="L6" s="18">
        <v>2195181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t="s">
        <v>211</v>
      </c>
      <c r="U6" t="s">
        <v>417</v>
      </c>
      <c r="V6" t="s">
        <v>418</v>
      </c>
      <c r="W6" s="9" t="str">
        <f>HYPERLINK(Table6[[#This Row],[FILE_NAME_12]])</f>
        <v>Rebate_Attachments\Admin Fee Summary w Resource Details JAN10.xlsx</v>
      </c>
      <c r="X6" s="9"/>
      <c r="AB6" s="9"/>
      <c r="AD6" s="9"/>
      <c r="AF6" s="9"/>
    </row>
    <row r="7" spans="1:33" x14ac:dyDescent="0.25">
      <c r="A7">
        <v>88002143</v>
      </c>
      <c r="B7" t="s">
        <v>419</v>
      </c>
      <c r="C7" t="s">
        <v>76</v>
      </c>
      <c r="D7" t="s">
        <v>420</v>
      </c>
      <c r="E7" t="s">
        <v>58</v>
      </c>
      <c r="F7" t="s">
        <v>68</v>
      </c>
      <c r="G7" t="s">
        <v>421</v>
      </c>
      <c r="H7" t="s">
        <v>422</v>
      </c>
      <c r="I7" t="s">
        <v>266</v>
      </c>
      <c r="J7" t="s">
        <v>423</v>
      </c>
      <c r="K7" s="19">
        <v>15000</v>
      </c>
      <c r="L7" s="18">
        <v>15000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t="s">
        <v>211</v>
      </c>
      <c r="U7" t="s">
        <v>424</v>
      </c>
      <c r="V7" t="s">
        <v>425</v>
      </c>
      <c r="W7" s="9" t="str">
        <f>HYPERLINK(Table6[[#This Row],[FILE_NAME_12]])</f>
        <v>Rebate_Attachments\Abbott TriClip Rebate Credit Memo Info and Facility Breakdown.pdf</v>
      </c>
      <c r="X7" s="9"/>
      <c r="AB7" s="9"/>
      <c r="AD7" s="9"/>
      <c r="AF7" s="9"/>
    </row>
    <row r="8" spans="1:33" x14ac:dyDescent="0.25">
      <c r="A8">
        <v>88002147</v>
      </c>
      <c r="B8" t="s">
        <v>426</v>
      </c>
      <c r="C8" t="s">
        <v>64</v>
      </c>
      <c r="D8" t="s">
        <v>238</v>
      </c>
      <c r="E8" t="s">
        <v>242</v>
      </c>
      <c r="F8" t="s">
        <v>68</v>
      </c>
      <c r="G8" t="s">
        <v>427</v>
      </c>
      <c r="H8" t="s">
        <v>428</v>
      </c>
      <c r="I8" t="s">
        <v>184</v>
      </c>
      <c r="J8" t="s">
        <v>429</v>
      </c>
      <c r="K8" s="19">
        <v>133694</v>
      </c>
      <c r="L8" s="18">
        <v>133694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t="s">
        <v>211</v>
      </c>
      <c r="U8" t="s">
        <v>430</v>
      </c>
      <c r="V8" t="s">
        <v>431</v>
      </c>
      <c r="W8" s="9" t="str">
        <f>HYPERLINK(Table6[[#This Row],[FILE_NAME_12]])</f>
        <v>Rebate_Attachments\Paymode a X Connect Rebate.docx</v>
      </c>
      <c r="X8" s="9"/>
      <c r="AB8" s="9"/>
      <c r="AD8" s="9"/>
      <c r="AF8" s="9"/>
    </row>
    <row r="9" spans="1:33" x14ac:dyDescent="0.25">
      <c r="A9">
        <v>88002148</v>
      </c>
      <c r="B9" t="s">
        <v>432</v>
      </c>
      <c r="C9" t="s">
        <v>76</v>
      </c>
      <c r="D9" t="s">
        <v>171</v>
      </c>
      <c r="E9" t="s">
        <v>58</v>
      </c>
      <c r="F9" t="s">
        <v>68</v>
      </c>
      <c r="G9" t="s">
        <v>172</v>
      </c>
      <c r="H9" t="s">
        <v>433</v>
      </c>
      <c r="I9" t="s">
        <v>266</v>
      </c>
      <c r="J9" t="s">
        <v>434</v>
      </c>
      <c r="K9" s="19">
        <v>232000</v>
      </c>
      <c r="L9" s="18">
        <v>112000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120000</v>
      </c>
      <c r="T9" t="s">
        <v>211</v>
      </c>
      <c r="U9" t="s">
        <v>435</v>
      </c>
      <c r="V9" t="s">
        <v>436</v>
      </c>
      <c r="W9" s="9" t="str">
        <f>HYPERLINK(Table6[[#This Row],[FILE_NAME_12]])</f>
        <v>Rebate_Attachments\BSCI Watchman Rebate Credit Memo and Facility Breakdown 2.5.25.pdf</v>
      </c>
      <c r="X9" s="9" t="str">
        <f>HYPERLINK(Table6[[#This Row],[FILE_PATH_2]])</f>
        <v>Rebate_Attachments\Watchman Rebate Contract Information 8_7_24.pdf</v>
      </c>
      <c r="Y9" t="s">
        <v>437</v>
      </c>
      <c r="Z9" t="s">
        <v>177</v>
      </c>
      <c r="AB9" s="9"/>
      <c r="AD9" s="9"/>
      <c r="AF9" s="9"/>
    </row>
    <row r="10" spans="1:33" x14ac:dyDescent="0.25">
      <c r="A10">
        <v>88002150</v>
      </c>
      <c r="B10" t="s">
        <v>438</v>
      </c>
      <c r="C10" t="s">
        <v>76</v>
      </c>
      <c r="D10" t="s">
        <v>439</v>
      </c>
      <c r="E10" t="s">
        <v>58</v>
      </c>
      <c r="F10" t="s">
        <v>68</v>
      </c>
      <c r="G10" t="s">
        <v>172</v>
      </c>
      <c r="H10" t="s">
        <v>347</v>
      </c>
      <c r="I10" t="s">
        <v>266</v>
      </c>
      <c r="J10" t="s">
        <v>440</v>
      </c>
      <c r="K10" s="19">
        <v>402000</v>
      </c>
      <c r="L10" s="18">
        <v>192000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210000</v>
      </c>
      <c r="T10" t="s">
        <v>211</v>
      </c>
      <c r="U10" t="s">
        <v>441</v>
      </c>
      <c r="V10" t="s">
        <v>442</v>
      </c>
      <c r="W10" s="9" t="str">
        <f>HYPERLINK(Table6[[#This Row],[FILE_NAME_12]])</f>
        <v>Rebate_Attachments\Farapulse Rebate Information 12.11.24.pdf</v>
      </c>
      <c r="X10" s="9" t="str">
        <f>HYPERLINK(Table6[[#This Row],[FILE_PATH_2]])</f>
        <v>Rebate_Attachments\MMC BSCI Farapulse Rebate and Analysis 2.12.25.pdf</v>
      </c>
      <c r="Y10" t="s">
        <v>443</v>
      </c>
      <c r="Z10" t="s">
        <v>444</v>
      </c>
      <c r="AA10" t="s">
        <v>445</v>
      </c>
      <c r="AB10" s="9" t="str">
        <f>HYPERLINK(Table6[[#This Row],[FILE_PATH_3]])</f>
        <v>Rebate_Attachments\WPH BSCI Farapulse Rebate Analysis 2.12.25.pdf</v>
      </c>
      <c r="AC10" t="s">
        <v>446</v>
      </c>
      <c r="AD10" s="9"/>
      <c r="AF10" s="9"/>
    </row>
    <row r="11" spans="1:33" x14ac:dyDescent="0.25">
      <c r="A11">
        <v>88002151</v>
      </c>
      <c r="B11" t="s">
        <v>447</v>
      </c>
      <c r="C11" t="s">
        <v>64</v>
      </c>
      <c r="D11" t="s">
        <v>183</v>
      </c>
      <c r="E11" t="s">
        <v>136</v>
      </c>
      <c r="F11" t="s">
        <v>102</v>
      </c>
      <c r="G11" t="s">
        <v>137</v>
      </c>
      <c r="H11" t="s">
        <v>366</v>
      </c>
      <c r="I11" t="s">
        <v>218</v>
      </c>
      <c r="J11" t="s">
        <v>448</v>
      </c>
      <c r="K11" s="19">
        <v>226636</v>
      </c>
      <c r="L11" s="18">
        <v>40455</v>
      </c>
      <c r="M11" s="18">
        <v>821</v>
      </c>
      <c r="N11" s="18">
        <v>0</v>
      </c>
      <c r="O11" s="18">
        <v>1597</v>
      </c>
      <c r="P11" s="18">
        <v>2346</v>
      </c>
      <c r="Q11" s="18">
        <v>1830</v>
      </c>
      <c r="R11" s="18">
        <v>2070</v>
      </c>
      <c r="S11" s="18">
        <v>177517</v>
      </c>
      <c r="T11" t="s">
        <v>211</v>
      </c>
      <c r="U11" t="s">
        <v>449</v>
      </c>
      <c r="V11" t="s">
        <v>450</v>
      </c>
      <c r="W11" s="9" t="str">
        <f>HYPERLINK(Table6[[#This Row],[FILE_NAME_12]])</f>
        <v>Rebate_Attachments\4 Q24 Premier- Montefiore Pharmacy Rebates .xlsx</v>
      </c>
      <c r="X11" s="9"/>
      <c r="AB11" s="9"/>
      <c r="AD11" s="9"/>
      <c r="AF11" s="9"/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"/>
  <sheetViews>
    <sheetView topLeftCell="G1" workbookViewId="0">
      <selection activeCell="G2" sqref="G2:G8"/>
    </sheetView>
  </sheetViews>
  <sheetFormatPr defaultRowHeight="15" x14ac:dyDescent="0.25"/>
  <cols>
    <col min="1" max="1" width="11.28515625" customWidth="1"/>
    <col min="2" max="2" width="14.42578125" customWidth="1"/>
    <col min="3" max="3" width="13.85546875" customWidth="1"/>
    <col min="4" max="4" width="17.28515625" customWidth="1"/>
    <col min="5" max="5" width="17.7109375" customWidth="1"/>
    <col min="6" max="6" width="16.28515625" customWidth="1"/>
    <col min="7" max="7" width="14.28515625" customWidth="1"/>
    <col min="8" max="8" width="19" customWidth="1"/>
    <col min="9" max="9" width="20.7109375" customWidth="1"/>
    <col min="10" max="10" width="15.28515625" customWidth="1"/>
    <col min="11" max="11" width="12.28515625" style="18" bestFit="1" customWidth="1"/>
    <col min="12" max="12" width="15.42578125" style="18" customWidth="1"/>
    <col min="13" max="13" width="13.28515625" style="18" customWidth="1"/>
    <col min="14" max="14" width="14.5703125" style="18" customWidth="1"/>
    <col min="15" max="15" width="15.28515625" style="18" customWidth="1"/>
    <col min="16" max="16" width="14.42578125" style="18" customWidth="1"/>
    <col min="17" max="17" width="13.85546875" style="18" customWidth="1"/>
    <col min="18" max="18" width="14.7109375" style="18" customWidth="1"/>
    <col min="19" max="19" width="13.5703125" style="18" customWidth="1"/>
    <col min="20" max="21" width="52.140625" bestFit="1" customWidth="1"/>
    <col min="22" max="22" width="37.5703125" bestFit="1" customWidth="1"/>
    <col min="23" max="23" width="13.7109375" customWidth="1"/>
    <col min="24" max="26" width="13.28515625" customWidth="1"/>
  </cols>
  <sheetData>
    <row r="1" spans="1:25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</row>
    <row r="2" spans="1:25" x14ac:dyDescent="0.25">
      <c r="A2">
        <v>88002125</v>
      </c>
      <c r="B2" t="s">
        <v>451</v>
      </c>
      <c r="C2" t="s">
        <v>64</v>
      </c>
      <c r="D2" t="s">
        <v>452</v>
      </c>
      <c r="E2" t="s">
        <v>453</v>
      </c>
      <c r="F2" t="s">
        <v>68</v>
      </c>
      <c r="G2" t="s">
        <v>230</v>
      </c>
      <c r="H2" t="s">
        <v>454</v>
      </c>
      <c r="I2" t="s">
        <v>218</v>
      </c>
      <c r="J2" t="s">
        <v>455</v>
      </c>
      <c r="K2" s="18">
        <v>103643</v>
      </c>
      <c r="L2" s="18">
        <v>64530</v>
      </c>
      <c r="M2" s="18">
        <v>-221</v>
      </c>
      <c r="N2" s="18">
        <v>73</v>
      </c>
      <c r="O2" s="18">
        <v>1719</v>
      </c>
      <c r="P2" s="18">
        <v>10732</v>
      </c>
      <c r="Q2" s="18">
        <v>4681</v>
      </c>
      <c r="R2" s="18">
        <v>2718</v>
      </c>
      <c r="S2" s="18">
        <v>19411</v>
      </c>
      <c r="T2" t="s">
        <v>456</v>
      </c>
    </row>
    <row r="3" spans="1:25" x14ac:dyDescent="0.25">
      <c r="A3">
        <v>88002126</v>
      </c>
      <c r="B3" t="s">
        <v>457</v>
      </c>
      <c r="C3" t="s">
        <v>64</v>
      </c>
      <c r="D3" t="s">
        <v>183</v>
      </c>
      <c r="E3" t="s">
        <v>136</v>
      </c>
      <c r="F3" t="s">
        <v>102</v>
      </c>
      <c r="G3" t="s">
        <v>137</v>
      </c>
      <c r="H3" t="s">
        <v>333</v>
      </c>
      <c r="I3" t="s">
        <v>218</v>
      </c>
      <c r="J3" t="s">
        <v>458</v>
      </c>
      <c r="K3" s="18">
        <v>256892</v>
      </c>
      <c r="L3" s="18">
        <v>33722</v>
      </c>
      <c r="M3" s="18">
        <v>243</v>
      </c>
      <c r="N3" s="18">
        <v>0</v>
      </c>
      <c r="O3" s="18">
        <v>478</v>
      </c>
      <c r="P3" s="18">
        <v>700</v>
      </c>
      <c r="Q3" s="18">
        <v>866</v>
      </c>
      <c r="R3" s="18">
        <v>5133</v>
      </c>
      <c r="S3" s="18">
        <v>215750</v>
      </c>
      <c r="T3" t="s">
        <v>459</v>
      </c>
    </row>
    <row r="4" spans="1:25" x14ac:dyDescent="0.25">
      <c r="A4">
        <v>88002127</v>
      </c>
      <c r="B4" t="s">
        <v>460</v>
      </c>
      <c r="C4" t="s">
        <v>76</v>
      </c>
      <c r="D4" t="s">
        <v>70</v>
      </c>
      <c r="E4" t="s">
        <v>58</v>
      </c>
      <c r="F4" t="s">
        <v>68</v>
      </c>
      <c r="G4" t="s">
        <v>67</v>
      </c>
      <c r="H4" t="s">
        <v>461</v>
      </c>
      <c r="I4" t="s">
        <v>218</v>
      </c>
      <c r="J4" t="s">
        <v>462</v>
      </c>
      <c r="K4" s="18">
        <v>87500</v>
      </c>
      <c r="L4" s="18">
        <v>87500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t="s">
        <v>463</v>
      </c>
      <c r="U4" t="s">
        <v>464</v>
      </c>
    </row>
    <row r="5" spans="1:25" x14ac:dyDescent="0.25">
      <c r="A5">
        <v>88002128</v>
      </c>
      <c r="B5" t="s">
        <v>465</v>
      </c>
      <c r="C5" t="s">
        <v>76</v>
      </c>
      <c r="D5" t="s">
        <v>70</v>
      </c>
      <c r="E5" t="s">
        <v>58</v>
      </c>
      <c r="F5" t="s">
        <v>68</v>
      </c>
      <c r="G5" t="s">
        <v>67</v>
      </c>
      <c r="H5" t="s">
        <v>466</v>
      </c>
      <c r="I5" t="s">
        <v>266</v>
      </c>
      <c r="J5" t="s">
        <v>467</v>
      </c>
      <c r="K5" s="18">
        <v>72500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72500</v>
      </c>
      <c r="T5" t="s">
        <v>463</v>
      </c>
      <c r="U5" t="s">
        <v>468</v>
      </c>
    </row>
    <row r="6" spans="1:25" x14ac:dyDescent="0.25">
      <c r="A6">
        <v>88002129</v>
      </c>
      <c r="B6" t="s">
        <v>469</v>
      </c>
      <c r="C6" t="s">
        <v>76</v>
      </c>
      <c r="D6" t="s">
        <v>439</v>
      </c>
      <c r="E6" t="s">
        <v>58</v>
      </c>
      <c r="F6" t="s">
        <v>68</v>
      </c>
      <c r="G6" t="s">
        <v>172</v>
      </c>
      <c r="H6" t="s">
        <v>470</v>
      </c>
      <c r="I6" t="s">
        <v>266</v>
      </c>
      <c r="J6" t="s">
        <v>471</v>
      </c>
      <c r="K6" s="18">
        <v>158000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158000</v>
      </c>
      <c r="T6" t="s">
        <v>472</v>
      </c>
      <c r="U6" t="s">
        <v>473</v>
      </c>
      <c r="V6" t="s">
        <v>474</v>
      </c>
    </row>
    <row r="7" spans="1:25" x14ac:dyDescent="0.25">
      <c r="A7">
        <v>88002131</v>
      </c>
      <c r="B7" t="s">
        <v>475</v>
      </c>
      <c r="C7" t="s">
        <v>352</v>
      </c>
      <c r="D7" t="s">
        <v>353</v>
      </c>
      <c r="E7" t="s">
        <v>136</v>
      </c>
      <c r="F7" t="s">
        <v>68</v>
      </c>
      <c r="G7" t="s">
        <v>476</v>
      </c>
      <c r="H7" t="s">
        <v>477</v>
      </c>
      <c r="I7" t="s">
        <v>218</v>
      </c>
      <c r="J7" t="s">
        <v>478</v>
      </c>
      <c r="K7" s="18">
        <v>275719</v>
      </c>
      <c r="L7" s="18">
        <v>199974</v>
      </c>
      <c r="M7" s="18">
        <v>8446</v>
      </c>
      <c r="N7" s="18">
        <v>176</v>
      </c>
      <c r="O7" s="18">
        <v>3789</v>
      </c>
      <c r="P7" s="18">
        <v>5515</v>
      </c>
      <c r="Q7" s="18">
        <v>10166</v>
      </c>
      <c r="R7" s="18">
        <v>14100</v>
      </c>
      <c r="S7" s="18">
        <v>33553</v>
      </c>
      <c r="T7" t="s">
        <v>479</v>
      </c>
    </row>
    <row r="8" spans="1:25" x14ac:dyDescent="0.25">
      <c r="A8">
        <v>88002132</v>
      </c>
      <c r="B8" t="s">
        <v>480</v>
      </c>
      <c r="C8" t="s">
        <v>387</v>
      </c>
      <c r="D8" t="s">
        <v>353</v>
      </c>
      <c r="E8" t="s">
        <v>136</v>
      </c>
      <c r="F8" t="s">
        <v>68</v>
      </c>
      <c r="G8" t="s">
        <v>354</v>
      </c>
      <c r="H8" t="s">
        <v>481</v>
      </c>
      <c r="I8" t="s">
        <v>266</v>
      </c>
      <c r="J8" t="s">
        <v>482</v>
      </c>
      <c r="K8" s="18">
        <v>216229</v>
      </c>
      <c r="L8" s="18">
        <v>145248</v>
      </c>
      <c r="M8" s="18">
        <v>107</v>
      </c>
      <c r="N8" s="18">
        <v>0</v>
      </c>
      <c r="O8" s="18">
        <v>804</v>
      </c>
      <c r="P8" s="18">
        <v>492</v>
      </c>
      <c r="Q8" s="18">
        <v>20668</v>
      </c>
      <c r="R8" s="18">
        <v>4690</v>
      </c>
      <c r="S8" s="18">
        <v>44220</v>
      </c>
      <c r="T8" t="s">
        <v>479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topLeftCell="L1" workbookViewId="0">
      <selection activeCell="G2" sqref="G2:G8"/>
    </sheetView>
  </sheetViews>
  <sheetFormatPr defaultRowHeight="15" x14ac:dyDescent="0.25"/>
  <cols>
    <col min="1" max="1" width="12.5703125" customWidth="1"/>
    <col min="2" max="2" width="15.85546875" customWidth="1"/>
    <col min="3" max="3" width="15" customWidth="1"/>
    <col min="4" max="4" width="18.5703125" customWidth="1"/>
    <col min="5" max="5" width="19" customWidth="1"/>
    <col min="6" max="6" width="17.42578125" customWidth="1"/>
    <col min="7" max="7" width="15.5703125" customWidth="1"/>
    <col min="8" max="8" width="20.140625" customWidth="1"/>
    <col min="9" max="9" width="25.85546875" bestFit="1" customWidth="1"/>
    <col min="10" max="10" width="16.85546875" style="18" customWidth="1"/>
    <col min="11" max="11" width="16.28515625" style="18" bestFit="1" customWidth="1"/>
    <col min="12" max="12" width="15.140625" style="18" customWidth="1"/>
    <col min="13" max="13" width="15.7109375" style="18" customWidth="1"/>
    <col min="14" max="14" width="15.140625" style="18" customWidth="1"/>
    <col min="15" max="15" width="14.42578125" style="18" customWidth="1"/>
    <col min="16" max="16" width="15.28515625" style="18" customWidth="1"/>
    <col min="17" max="17" width="13.7109375" style="18" customWidth="1"/>
    <col min="18" max="18" width="13.5703125" style="18" customWidth="1"/>
    <col min="19" max="19" width="83.5703125" hidden="1" customWidth="1"/>
    <col min="20" max="20" width="38.42578125" hidden="1" customWidth="1"/>
    <col min="21" max="21" width="65.7109375" hidden="1" customWidth="1"/>
    <col min="22" max="22" width="33" hidden="1" customWidth="1"/>
    <col min="23" max="23" width="83.5703125" bestFit="1" customWidth="1"/>
    <col min="24" max="24" width="38.42578125" bestFit="1" customWidth="1"/>
    <col min="25" max="25" width="65.7109375" bestFit="1" customWidth="1"/>
    <col min="26" max="26" width="33" bestFit="1" customWidth="1"/>
  </cols>
  <sheetData>
    <row r="1" spans="1:2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123</v>
      </c>
      <c r="J1" s="18" t="s">
        <v>124</v>
      </c>
      <c r="K1" s="18" t="s">
        <v>125</v>
      </c>
      <c r="L1" s="18" t="s">
        <v>126</v>
      </c>
      <c r="M1" s="18" t="s">
        <v>127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t="s">
        <v>201</v>
      </c>
      <c r="T1" t="s">
        <v>202</v>
      </c>
      <c r="U1" t="s">
        <v>203</v>
      </c>
      <c r="V1" t="s">
        <v>374</v>
      </c>
      <c r="W1" t="s">
        <v>204</v>
      </c>
      <c r="X1" t="s">
        <v>205</v>
      </c>
      <c r="Y1" t="s">
        <v>206</v>
      </c>
      <c r="Z1" t="s">
        <v>373</v>
      </c>
    </row>
    <row r="2" spans="1:26" x14ac:dyDescent="0.25">
      <c r="A2">
        <v>88002107</v>
      </c>
      <c r="B2" t="s">
        <v>483</v>
      </c>
      <c r="C2" t="s">
        <v>76</v>
      </c>
      <c r="D2" t="s">
        <v>484</v>
      </c>
      <c r="E2" t="s">
        <v>485</v>
      </c>
      <c r="F2" t="s">
        <v>102</v>
      </c>
      <c r="G2" t="s">
        <v>486</v>
      </c>
      <c r="H2" t="s">
        <v>487</v>
      </c>
      <c r="I2" t="s">
        <v>488</v>
      </c>
      <c r="J2" s="18">
        <v>43980</v>
      </c>
      <c r="K2" s="18">
        <v>31001</v>
      </c>
      <c r="L2" s="18">
        <v>0</v>
      </c>
      <c r="M2" s="18">
        <v>5369</v>
      </c>
      <c r="N2" s="18">
        <v>2088</v>
      </c>
      <c r="O2" s="18">
        <v>903</v>
      </c>
      <c r="P2" s="18">
        <v>4619</v>
      </c>
      <c r="Q2" s="18">
        <v>0</v>
      </c>
      <c r="R2" s="18">
        <v>0</v>
      </c>
      <c r="S2" t="s">
        <v>489</v>
      </c>
      <c r="T2" t="s">
        <v>490</v>
      </c>
      <c r="U2" t="s">
        <v>491</v>
      </c>
      <c r="W2" s="9" t="str">
        <f>HYPERLINK("I:\Procurement PMO\Simi_Sudhakaran\Applications\Rebate Box Savings Tracker\REBATE - Savings Tracker\Rebate attachments - 11142024\" &amp; S2,S2)</f>
        <v>Grainger Check Copy 102924.pdf</v>
      </c>
      <c r="X2" s="9" t="str">
        <f>HYPERLINK("I:\Procurement PMO\Simi_Sudhakaran\Applications\Rebate Box Savings Tracker\REBATE - Savings Tracker\Rebate attachments - 11142024\" &amp; T2,T2)</f>
        <v>Grainger Rebate by Entity_102924.xlsx</v>
      </c>
      <c r="Y2" s="9" t="str">
        <f>HYPERLINK("I:\Procurement PMO\Simi_Sudhakaran\Applications\Rebate Box Savings Tracker\REBATE - Savings Tracker\Rebate attachments - 11142024\" &amp; U2,U2)</f>
        <v>Grainger_ContractDef_102924.docx</v>
      </c>
      <c r="Z2" s="9"/>
    </row>
    <row r="3" spans="1:26" x14ac:dyDescent="0.25">
      <c r="A3">
        <v>88002109</v>
      </c>
      <c r="B3" t="s">
        <v>475</v>
      </c>
      <c r="C3" t="s">
        <v>64</v>
      </c>
      <c r="D3" t="s">
        <v>353</v>
      </c>
      <c r="E3" t="s">
        <v>136</v>
      </c>
      <c r="F3" t="s">
        <v>68</v>
      </c>
      <c r="G3" t="s">
        <v>354</v>
      </c>
      <c r="H3" t="s">
        <v>231</v>
      </c>
      <c r="I3" t="s">
        <v>492</v>
      </c>
      <c r="J3" s="18">
        <v>277496</v>
      </c>
      <c r="K3" s="18">
        <v>202303</v>
      </c>
      <c r="L3" s="18">
        <v>6651</v>
      </c>
      <c r="M3" s="18">
        <v>496</v>
      </c>
      <c r="N3" s="18">
        <v>3920</v>
      </c>
      <c r="O3" s="18">
        <v>4591</v>
      </c>
      <c r="P3" s="18">
        <v>11864</v>
      </c>
      <c r="Q3" s="18">
        <v>15451</v>
      </c>
      <c r="R3" s="18">
        <v>32220</v>
      </c>
      <c r="S3" t="s">
        <v>493</v>
      </c>
      <c r="W3" s="9" t="str">
        <f t="shared" ref="W3:W13" si="0">HYPERLINK("I:\Procurement PMO\Simi_Sudhakaran\Applications\Rebate Box Savings Tracker\REBATE - Savings Tracker\Rebate attachments - 11142024\" &amp; S3,S3)</f>
        <v>Savings Breakdown by location for Montefiore by quarter.xlsx</v>
      </c>
      <c r="X3" s="9"/>
      <c r="Y3" s="9"/>
      <c r="Z3" s="9"/>
    </row>
    <row r="4" spans="1:26" x14ac:dyDescent="0.25">
      <c r="A4">
        <v>88002115</v>
      </c>
      <c r="B4" t="s">
        <v>494</v>
      </c>
      <c r="C4" t="s">
        <v>76</v>
      </c>
      <c r="D4" t="s">
        <v>495</v>
      </c>
      <c r="E4" t="s">
        <v>58</v>
      </c>
      <c r="F4" t="s">
        <v>68</v>
      </c>
      <c r="G4" t="s">
        <v>496</v>
      </c>
      <c r="H4" t="s">
        <v>497</v>
      </c>
      <c r="I4" t="s">
        <v>498</v>
      </c>
      <c r="J4" s="18">
        <v>54951</v>
      </c>
      <c r="K4" s="18">
        <v>37296</v>
      </c>
      <c r="L4" s="18">
        <v>0</v>
      </c>
      <c r="M4" s="18">
        <v>11181</v>
      </c>
      <c r="N4" s="18">
        <v>0</v>
      </c>
      <c r="O4" s="18">
        <v>0</v>
      </c>
      <c r="P4" s="18">
        <v>2600</v>
      </c>
      <c r="Q4" s="18">
        <v>184</v>
      </c>
      <c r="R4" s="18">
        <v>3690</v>
      </c>
      <c r="S4" t="s">
        <v>499</v>
      </c>
      <c r="T4" t="s">
        <v>500</v>
      </c>
      <c r="U4" t="s">
        <v>501</v>
      </c>
      <c r="V4" t="s">
        <v>502</v>
      </c>
      <c r="W4" s="9" t="str">
        <f t="shared" si="0"/>
        <v>Biotronik Credit Memo 5500128280.pdf</v>
      </c>
      <c r="X4" s="9" t="str">
        <f>HYPERLINK("I:\Procurement PMO\Simi_Sudhakaran\Applications\Rebate Box Savings Tracker\REBATE - Savings Tracker\Rebate attachments - 11142024\" &amp; T4,T4)</f>
        <v>Biotronik Credit Memo 5500128281.pdf</v>
      </c>
      <c r="Y4" s="9" t="str">
        <f>HYPERLINK("I:\Procurement PMO\Simi_Sudhakaran\Applications\Rebate Box Savings Tracker\REBATE - Savings Tracker\Rebate attachments - 11142024\" &amp; U4,U4)</f>
        <v>Biotronik Rebate Details 11.6.24.PNG</v>
      </c>
      <c r="Z4" s="9" t="str">
        <f>HYPERLINK("I:\Procurement PMO\Simi_Sudhakaran\Applications\Rebate Box Savings Tracker\REBATE - Savings Tracker\Rebate attachments - 11142024\" &amp; V4,V4)</f>
        <v>Montefiore CRM Rebate 2024 Q3.xlsx</v>
      </c>
    </row>
    <row r="5" spans="1:26" x14ac:dyDescent="0.25">
      <c r="A5">
        <v>88002116</v>
      </c>
      <c r="B5" t="s">
        <v>377</v>
      </c>
      <c r="C5" t="s">
        <v>76</v>
      </c>
      <c r="D5" t="s">
        <v>112</v>
      </c>
      <c r="E5" t="s">
        <v>58</v>
      </c>
      <c r="F5" t="s">
        <v>68</v>
      </c>
      <c r="G5" t="s">
        <v>114</v>
      </c>
      <c r="H5" t="s">
        <v>503</v>
      </c>
      <c r="I5" t="s">
        <v>504</v>
      </c>
      <c r="J5" s="18">
        <v>31500</v>
      </c>
      <c r="K5" s="18">
        <v>17000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14500</v>
      </c>
      <c r="S5" t="s">
        <v>505</v>
      </c>
      <c r="T5" t="s">
        <v>506</v>
      </c>
      <c r="U5" t="s">
        <v>507</v>
      </c>
      <c r="W5" s="9" t="str">
        <f t="shared" si="0"/>
        <v>Biosense Webster EP Catheter Buyback Contract  11-20-2023..pdf</v>
      </c>
      <c r="X5" s="9" t="str">
        <f>HYPERLINK("I:\Procurement PMO\Simi_Sudhakaran\Applications\Rebate Box Savings Tracker\REBATE - Savings Tracker\Rebate attachments - 11142024\" &amp; T5,T5)</f>
        <v>BW Rebate ACH Confirmation 11.6.24.png</v>
      </c>
      <c r="Y5" s="9" t="str">
        <f>HYPERLINK("I:\Procurement PMO\Simi_Sudhakaran\Applications\Rebate Box Savings Tracker\REBATE - Savings Tracker\Rebate attachments - 11142024\" &amp; U5,U5)</f>
        <v>Rebate Analysis BWI Buyback Montefiore Medical Center 2Q24_CUST.xlsx</v>
      </c>
      <c r="Z5" s="9"/>
    </row>
    <row r="6" spans="1:26" x14ac:dyDescent="0.25">
      <c r="A6">
        <v>88002117</v>
      </c>
      <c r="B6" t="s">
        <v>508</v>
      </c>
      <c r="C6" t="s">
        <v>76</v>
      </c>
      <c r="D6" t="s">
        <v>439</v>
      </c>
      <c r="E6" t="s">
        <v>58</v>
      </c>
      <c r="F6" t="s">
        <v>68</v>
      </c>
      <c r="G6" t="s">
        <v>172</v>
      </c>
      <c r="H6" t="s">
        <v>509</v>
      </c>
      <c r="I6" t="s">
        <v>510</v>
      </c>
      <c r="J6" s="18">
        <v>120000</v>
      </c>
      <c r="K6" s="18">
        <v>120000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t="s">
        <v>511</v>
      </c>
      <c r="T6" t="s">
        <v>512</v>
      </c>
      <c r="U6" t="s">
        <v>513</v>
      </c>
      <c r="W6" s="9" t="str">
        <f t="shared" si="0"/>
        <v>BSCI PFA MMC Rebate Breakdown and Analysis 11.12.24.pdf</v>
      </c>
      <c r="X6" s="9" t="str">
        <f>HYPERLINK("I:\Procurement PMO\Simi_Sudhakaran\Applications\Rebate Box Savings Tracker\REBATE - Savings Tracker\Rebate attachments - 11142024\" &amp; T6,T6)</f>
        <v>BSCI PFA Rebate Credit Memo 11.12.24.pdf</v>
      </c>
      <c r="Y6" s="9" t="str">
        <f>HYPERLINK("I:\Procurement PMO\Simi_Sudhakaran\Applications\Rebate Box Savings Tracker\REBATE - Savings Tracker\Rebate attachments - 11142024\" &amp; U6,U6)</f>
        <v>MMC BSCI PFA Rebate Information 11.12.24.pdf</v>
      </c>
      <c r="Z6" s="9"/>
    </row>
    <row r="7" spans="1:26" x14ac:dyDescent="0.25">
      <c r="A7">
        <v>88002118</v>
      </c>
      <c r="B7" t="s">
        <v>514</v>
      </c>
      <c r="C7" t="s">
        <v>64</v>
      </c>
      <c r="D7" t="s">
        <v>515</v>
      </c>
      <c r="E7" t="s">
        <v>242</v>
      </c>
      <c r="F7" t="s">
        <v>68</v>
      </c>
      <c r="G7" t="s">
        <v>427</v>
      </c>
      <c r="H7" t="s">
        <v>516</v>
      </c>
      <c r="I7" t="s">
        <v>517</v>
      </c>
      <c r="J7" s="18">
        <v>49010</v>
      </c>
      <c r="K7" s="18">
        <v>49010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t="s">
        <v>518</v>
      </c>
      <c r="W7" s="9" t="str">
        <f t="shared" si="0"/>
        <v>FW Paymode rebate period 06-01-2024 - 08-30-2024.msg</v>
      </c>
      <c r="X7" s="9"/>
      <c r="Y7" s="9"/>
      <c r="Z7" s="9"/>
    </row>
    <row r="8" spans="1:26" x14ac:dyDescent="0.25">
      <c r="A8">
        <v>88002119</v>
      </c>
      <c r="B8" t="s">
        <v>519</v>
      </c>
      <c r="C8" t="s">
        <v>64</v>
      </c>
      <c r="D8" t="s">
        <v>515</v>
      </c>
      <c r="E8" t="s">
        <v>242</v>
      </c>
      <c r="F8" t="s">
        <v>68</v>
      </c>
      <c r="G8" t="s">
        <v>427</v>
      </c>
      <c r="H8" t="s">
        <v>520</v>
      </c>
      <c r="I8" t="s">
        <v>521</v>
      </c>
      <c r="J8" s="18">
        <v>70103</v>
      </c>
      <c r="K8" s="18">
        <v>70103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t="s">
        <v>518</v>
      </c>
      <c r="W8" s="9" t="str">
        <f t="shared" si="0"/>
        <v>FW Paymode rebate period 06-01-2024 - 08-30-2024.msg</v>
      </c>
      <c r="X8" s="9"/>
      <c r="Y8" s="9"/>
      <c r="Z8" s="9"/>
    </row>
    <row r="9" spans="1:26" x14ac:dyDescent="0.25">
      <c r="A9">
        <v>88002120</v>
      </c>
      <c r="B9" t="s">
        <v>514</v>
      </c>
      <c r="C9" t="s">
        <v>64</v>
      </c>
      <c r="D9" t="s">
        <v>515</v>
      </c>
      <c r="E9" t="s">
        <v>242</v>
      </c>
      <c r="F9" t="s">
        <v>68</v>
      </c>
      <c r="G9" t="s">
        <v>427</v>
      </c>
      <c r="H9" t="s">
        <v>522</v>
      </c>
      <c r="I9" t="s">
        <v>523</v>
      </c>
      <c r="J9" s="18">
        <v>154461</v>
      </c>
      <c r="K9" s="18">
        <v>154461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t="s">
        <v>518</v>
      </c>
      <c r="W9" s="9" t="str">
        <f t="shared" si="0"/>
        <v>FW Paymode rebate period 06-01-2024 - 08-30-2024.msg</v>
      </c>
      <c r="X9" s="9"/>
      <c r="Y9" s="9"/>
      <c r="Z9" s="9"/>
    </row>
    <row r="10" spans="1:26" x14ac:dyDescent="0.25">
      <c r="A10">
        <v>88002121</v>
      </c>
      <c r="B10" t="s">
        <v>514</v>
      </c>
      <c r="C10" t="s">
        <v>64</v>
      </c>
      <c r="D10" t="s">
        <v>515</v>
      </c>
      <c r="E10" t="s">
        <v>242</v>
      </c>
      <c r="F10" t="s">
        <v>68</v>
      </c>
      <c r="G10" t="s">
        <v>427</v>
      </c>
      <c r="H10" t="s">
        <v>306</v>
      </c>
      <c r="I10" t="s">
        <v>524</v>
      </c>
      <c r="J10" s="18">
        <v>152563</v>
      </c>
      <c r="K10" s="18">
        <v>152563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t="s">
        <v>518</v>
      </c>
      <c r="W10" s="9" t="str">
        <f t="shared" si="0"/>
        <v>FW Paymode rebate period 06-01-2024 - 08-30-2024.msg</v>
      </c>
      <c r="X10" s="9"/>
      <c r="Y10" s="9"/>
      <c r="Z10" s="9"/>
    </row>
    <row r="11" spans="1:26" x14ac:dyDescent="0.25">
      <c r="A11">
        <v>88002122</v>
      </c>
      <c r="B11" t="s">
        <v>525</v>
      </c>
      <c r="C11" t="s">
        <v>64</v>
      </c>
      <c r="D11" t="s">
        <v>526</v>
      </c>
      <c r="E11" t="s">
        <v>242</v>
      </c>
      <c r="F11" t="s">
        <v>102</v>
      </c>
      <c r="G11" t="s">
        <v>527</v>
      </c>
      <c r="H11" t="s">
        <v>528</v>
      </c>
      <c r="I11" t="s">
        <v>74</v>
      </c>
      <c r="J11" s="18">
        <v>1347377</v>
      </c>
      <c r="K11" s="18">
        <v>1347377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t="s">
        <v>529</v>
      </c>
      <c r="W11" s="9" t="str">
        <f t="shared" si="0"/>
        <v>MONTEFIORE MEDICINE ACADEMIC HEALTH SYSTEM INC 759714 - 4Q23 BACKUP.xlsx</v>
      </c>
      <c r="X11" s="9"/>
      <c r="Y11" s="9"/>
      <c r="Z11" s="9"/>
    </row>
    <row r="12" spans="1:26" x14ac:dyDescent="0.25">
      <c r="A12">
        <v>88002123</v>
      </c>
      <c r="B12" t="s">
        <v>530</v>
      </c>
      <c r="C12" t="s">
        <v>64</v>
      </c>
      <c r="D12" t="s">
        <v>526</v>
      </c>
      <c r="E12" t="s">
        <v>242</v>
      </c>
      <c r="F12" t="s">
        <v>102</v>
      </c>
      <c r="G12" t="s">
        <v>527</v>
      </c>
      <c r="H12" t="s">
        <v>531</v>
      </c>
      <c r="I12" t="s">
        <v>532</v>
      </c>
      <c r="J12" s="18">
        <v>2053508</v>
      </c>
      <c r="K12" s="18">
        <v>2053508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t="s">
        <v>533</v>
      </c>
      <c r="W12" s="9" t="str">
        <f t="shared" si="0"/>
        <v>Jan-Mar - MONTEFIORE MEDICINE ACADEMIC HEALTH SYSTEM INC 759714 - 1Q24 BACKUP.xlsx</v>
      </c>
      <c r="X12" s="9"/>
      <c r="Y12" s="9"/>
      <c r="Z12" s="9"/>
    </row>
    <row r="13" spans="1:26" x14ac:dyDescent="0.25">
      <c r="A13">
        <v>88002124</v>
      </c>
      <c r="B13" t="s">
        <v>534</v>
      </c>
      <c r="C13" t="s">
        <v>64</v>
      </c>
      <c r="D13" t="s">
        <v>526</v>
      </c>
      <c r="E13" t="s">
        <v>242</v>
      </c>
      <c r="F13" t="s">
        <v>102</v>
      </c>
      <c r="G13" t="s">
        <v>527</v>
      </c>
      <c r="H13" t="s">
        <v>535</v>
      </c>
      <c r="I13" t="s">
        <v>536</v>
      </c>
      <c r="J13" s="18">
        <v>2266566</v>
      </c>
      <c r="K13" s="18">
        <v>2266566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t="s">
        <v>537</v>
      </c>
      <c r="W13" s="9" t="str">
        <f t="shared" si="0"/>
        <v>Apr-Jun - MONTEFIORE MEDICINE ACADEMIC HEALTH SYSTEM INC 759714 - 2Q24 BACKUP.xlsx</v>
      </c>
      <c r="X13" s="9"/>
      <c r="Y13" s="9"/>
      <c r="Z13" s="9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topLeftCell="J1" workbookViewId="0">
      <selection activeCell="G2" sqref="G2:G8"/>
    </sheetView>
  </sheetViews>
  <sheetFormatPr defaultRowHeight="15" x14ac:dyDescent="0.25"/>
  <cols>
    <col min="1" max="1" width="11" bestFit="1" customWidth="1"/>
    <col min="2" max="2" width="51.85546875" customWidth="1"/>
    <col min="3" max="3" width="13.7109375" bestFit="1" customWidth="1"/>
    <col min="4" max="4" width="27.140625" bestFit="1" customWidth="1"/>
    <col min="5" max="5" width="17" bestFit="1" customWidth="1"/>
    <col min="6" max="6" width="15.42578125" bestFit="1" customWidth="1"/>
    <col min="7" max="7" width="44.5703125" bestFit="1" customWidth="1"/>
    <col min="8" max="8" width="18.28515625" bestFit="1" customWidth="1"/>
    <col min="9" max="9" width="32.5703125" bestFit="1" customWidth="1"/>
    <col min="10" max="10" width="15.28515625" style="18" bestFit="1" customWidth="1"/>
    <col min="11" max="11" width="14" style="18" bestFit="1" customWidth="1"/>
    <col min="12" max="12" width="15.42578125" style="18" bestFit="1" customWidth="1"/>
    <col min="13" max="13" width="16.140625" style="18" bestFit="1" customWidth="1"/>
    <col min="14" max="14" width="15.140625" style="18" bestFit="1" customWidth="1"/>
    <col min="15" max="15" width="14.7109375" style="18" bestFit="1" customWidth="1"/>
    <col min="16" max="16" width="15.7109375" style="18" bestFit="1" customWidth="1"/>
    <col min="17" max="17" width="14.42578125" style="18" bestFit="1" customWidth="1"/>
    <col min="18" max="18" width="13.85546875" bestFit="1" customWidth="1"/>
    <col min="19" max="19" width="62.85546875" hidden="1" customWidth="1"/>
    <col min="20" max="20" width="83.28515625" hidden="1" customWidth="1"/>
    <col min="21" max="21" width="73" hidden="1" customWidth="1"/>
    <col min="22" max="22" width="50" hidden="1" customWidth="1"/>
    <col min="23" max="23" width="81.5703125" hidden="1" customWidth="1"/>
    <col min="24" max="24" width="62.85546875" bestFit="1" customWidth="1"/>
    <col min="25" max="25" width="83.28515625" bestFit="1" customWidth="1"/>
    <col min="26" max="26" width="73" bestFit="1" customWidth="1"/>
    <col min="27" max="27" width="50" bestFit="1" customWidth="1"/>
    <col min="28" max="28" width="81.5703125" bestFit="1" customWidth="1"/>
  </cols>
  <sheetData>
    <row r="1" spans="1:28" x14ac:dyDescent="0.25">
      <c r="A1" s="12" t="s">
        <v>0</v>
      </c>
      <c r="B1" s="12" t="s">
        <v>115</v>
      </c>
      <c r="C1" s="12" t="s">
        <v>116</v>
      </c>
      <c r="D1" s="12" t="s">
        <v>117</v>
      </c>
      <c r="E1" s="12" t="s">
        <v>118</v>
      </c>
      <c r="F1" s="12" t="s">
        <v>119</v>
      </c>
      <c r="G1" s="12" t="s">
        <v>120</v>
      </c>
      <c r="H1" s="12" t="s">
        <v>121</v>
      </c>
      <c r="I1" s="12" t="s">
        <v>123</v>
      </c>
      <c r="J1" s="12" t="s">
        <v>124</v>
      </c>
      <c r="K1" s="15" t="s">
        <v>125</v>
      </c>
      <c r="L1" s="16" t="s">
        <v>126</v>
      </c>
      <c r="M1" s="16" t="s">
        <v>127</v>
      </c>
      <c r="N1" s="16" t="s">
        <v>128</v>
      </c>
      <c r="O1" s="16" t="s">
        <v>129</v>
      </c>
      <c r="P1" s="16" t="s">
        <v>130</v>
      </c>
      <c r="Q1" s="16" t="s">
        <v>131</v>
      </c>
      <c r="R1" s="16" t="s">
        <v>132</v>
      </c>
      <c r="S1" t="s">
        <v>201</v>
      </c>
      <c r="T1" t="s">
        <v>202</v>
      </c>
      <c r="U1" t="s">
        <v>203</v>
      </c>
      <c r="V1" t="s">
        <v>374</v>
      </c>
      <c r="W1" t="s">
        <v>376</v>
      </c>
      <c r="X1" s="13" t="s">
        <v>204</v>
      </c>
      <c r="Y1" s="13" t="s">
        <v>205</v>
      </c>
      <c r="Z1" s="13" t="s">
        <v>206</v>
      </c>
      <c r="AA1" s="13" t="s">
        <v>373</v>
      </c>
      <c r="AB1" s="13" t="s">
        <v>375</v>
      </c>
    </row>
    <row r="2" spans="1:28" x14ac:dyDescent="0.25">
      <c r="A2">
        <v>88002073</v>
      </c>
      <c r="B2" t="s">
        <v>538</v>
      </c>
      <c r="C2" t="s">
        <v>76</v>
      </c>
      <c r="D2" t="s">
        <v>95</v>
      </c>
      <c r="E2" t="s">
        <v>58</v>
      </c>
      <c r="F2" t="s">
        <v>68</v>
      </c>
      <c r="G2" t="s">
        <v>97</v>
      </c>
      <c r="H2" t="s">
        <v>539</v>
      </c>
      <c r="I2" t="s">
        <v>540</v>
      </c>
      <c r="J2" s="18">
        <v>37000</v>
      </c>
      <c r="K2" s="18">
        <v>19000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>
        <v>18000</v>
      </c>
      <c r="S2" t="s">
        <v>541</v>
      </c>
      <c r="T2" t="s">
        <v>542</v>
      </c>
      <c r="U2" t="s">
        <v>543</v>
      </c>
      <c r="V2" t="s">
        <v>544</v>
      </c>
      <c r="W2" t="s">
        <v>545</v>
      </c>
      <c r="X2" s="9" t="str">
        <f>HYPERLINK("REBATE - Savings Tracker\Rebate attachments - 10092024\Credit_1800112292_2024_09_20 Medtronic Structural Heart 9.24.24.pdf", "Credit_1800112292_2024_09_20 Medtronic Structural Heart 9.24.24.pdf")</f>
        <v>Credit_1800112292_2024_09_20 Medtronic Structural Heart 9.24.24.pdf</v>
      </c>
      <c r="Y2" s="17" t="str">
        <f>HYPERLINK("REBATE - Savings Tracker\Rebate attachments - 10092024\Medtronic Structural Heart Rebate Terms 9.24.24.pdf", "Medtronic Structural Heart Rebate Terms 9.24.24.pdf")</f>
        <v>Medtronic Structural Heart Rebate Terms 9.24.24.pdf</v>
      </c>
      <c r="Z2" s="17" t="str">
        <f>HYPERLINK("REBATE - Savings Tracker\Rebate attachments - 10092024\MHS Credit_1800112292_2024_09_20 Structural Heart 9.24.24_20240924131601.pdf", "MHS Credit_1800112292_2024_09_20 Structural Heart 9.24.24_20240924131601.pdf")</f>
        <v>MHS Credit_1800112292_2024_09_20 Structural Heart 9.24.24_20240924131601.pdf</v>
      </c>
      <c r="AA2" s="17" t="str">
        <f>HYPERLINK("REBATE - Savings Tracker\Rebate attachments - 10092024\Rebate Analysis Medtronic Structural Heart 9.24.24.xlsx", "Rebate Analysis Medtronic Structural Heart 9.24.24.xlsx")</f>
        <v>Rebate Analysis Medtronic Structural Heart 9.24.24.xlsx</v>
      </c>
      <c r="AB2" s="17" t="str">
        <f>HYPERLINK("REBATE - Savings Tracker\Rebate attachments - 10092024\WP Credit_1800112292_2024_09_20 Medtronic Structural Heart 9.24.24_20240924131601.pdf", "WP Credit_1800112292_2024_09_20 Medtronic Structural Heart 9.24.24_20240924131601.pdf")</f>
        <v>WP Credit_1800112292_2024_09_20 Medtronic Structural Heart 9.24.24_20240924131601.pdf</v>
      </c>
    </row>
    <row r="3" spans="1:28" x14ac:dyDescent="0.25">
      <c r="A3">
        <v>88002076</v>
      </c>
      <c r="B3" t="s">
        <v>546</v>
      </c>
      <c r="C3" t="s">
        <v>76</v>
      </c>
      <c r="D3" t="s">
        <v>159</v>
      </c>
      <c r="E3" t="s">
        <v>58</v>
      </c>
      <c r="F3" t="s">
        <v>68</v>
      </c>
      <c r="G3" t="s">
        <v>87</v>
      </c>
      <c r="H3" t="s">
        <v>539</v>
      </c>
      <c r="I3" t="s">
        <v>547</v>
      </c>
      <c r="J3" s="18">
        <v>199016</v>
      </c>
      <c r="K3" s="18">
        <v>40397</v>
      </c>
      <c r="L3" s="18">
        <v>0</v>
      </c>
      <c r="M3" s="18">
        <v>11572</v>
      </c>
      <c r="N3" s="18">
        <v>0</v>
      </c>
      <c r="O3" s="18">
        <v>0</v>
      </c>
      <c r="P3" s="18">
        <v>15131</v>
      </c>
      <c r="Q3" s="18">
        <v>8498</v>
      </c>
      <c r="R3">
        <v>123418</v>
      </c>
      <c r="S3" t="s">
        <v>548</v>
      </c>
      <c r="T3" t="s">
        <v>549</v>
      </c>
      <c r="U3" t="s">
        <v>550</v>
      </c>
      <c r="V3" t="s">
        <v>551</v>
      </c>
      <c r="W3" t="s">
        <v>552</v>
      </c>
      <c r="X3" s="17" t="str">
        <f>HYPERLINK("REBATE - Savings Tracker\Rebate attachments - 10092024\Medtronic CRM Rebate Terms 9.24.24.pdf", "Medtronic CRM Rebate Terms 9.24.24.pdf")</f>
        <v>Medtronic CRM Rebate Terms 9.24.24.pdf</v>
      </c>
      <c r="Y3" s="17" t="str">
        <f>HYPERLINK("REBATE - Savings Tracker\Rebate attachments - 10092024\MHS Credit_1800114535_2024_09_20.pdf", "MHS Credit_1800114535_2024_09_20.pdf")</f>
        <v>MHS Credit_1800114535_2024_09_20.pdf</v>
      </c>
      <c r="Z3" s="17" t="str">
        <f>HYPERLINK("REBATE - Savings Tracker\Rebate attachments - 10092024\Rebate Analysis Montefiore Health System CRM 9.24.24.xlsx", "Rebate Analysis Montefiore Health System CRM 9.24.24.xlsx")</f>
        <v>Rebate Analysis Montefiore Health System CRM 9.24.24.xlsx</v>
      </c>
      <c r="AA3" s="17" t="str">
        <f>HYPERLINK("REBATE - Savings Tracker\Rebate attachments - 10092024\St. Lukes Credit_1800114535_2024_09_20.pdf", "St. Lukes Credit_1800114535_2024_09_20.pdf")</f>
        <v>St. Lukes Credit_1800114535_2024_09_20.pdf</v>
      </c>
      <c r="AB3" s="17" t="str">
        <f>HYPERLINK("REBATE - Savings Tracker\Rebate attachments - 10092024\WP Credit_1800114535_2024_09_20.pdf", "WP Credit_1800114535_2024_09_20.pdf")</f>
        <v>WP Credit_1800114535_2024_09_20.pdf</v>
      </c>
    </row>
    <row r="4" spans="1:28" x14ac:dyDescent="0.25">
      <c r="A4">
        <v>88002087</v>
      </c>
      <c r="B4" t="s">
        <v>553</v>
      </c>
      <c r="C4" t="s">
        <v>76</v>
      </c>
      <c r="D4" t="s">
        <v>420</v>
      </c>
      <c r="E4" t="s">
        <v>58</v>
      </c>
      <c r="F4" t="s">
        <v>68</v>
      </c>
      <c r="G4" t="s">
        <v>421</v>
      </c>
      <c r="H4" t="s">
        <v>554</v>
      </c>
      <c r="I4" t="s">
        <v>555</v>
      </c>
      <c r="J4" s="18">
        <v>21000</v>
      </c>
      <c r="K4" s="18">
        <v>21000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>
        <v>0</v>
      </c>
      <c r="S4" t="s">
        <v>556</v>
      </c>
      <c r="T4" t="s">
        <v>557</v>
      </c>
      <c r="X4" s="17" t="str">
        <f>HYPERLINK("REBATE - Savings Tracker\Rebate attachments - 10092024\CREDIT MEMO 9301331589.pdf", "CREDIT MEMO 9301331589.pdf")</f>
        <v>CREDIT MEMO 9301331589.pdf</v>
      </c>
      <c r="Y4" s="17" t="str">
        <f>HYPERLINK("REBATE - Savings Tracker\Rebate attachments - 10092024\Rebate Detail and Facility C50588_ MONTEFIORE HLTH _ TRICLIP SH_ APR - JUN24 Rebates.pdf", "Rebate Detail and Facility C50588_ MONTEFIORE HLTH _ TRICLIP SH_ APR - JUN24 Rebates.pdf")</f>
        <v>Rebate Detail and Facility C50588_ MONTEFIORE HLTH _ TRICLIP SH_ APR - JUN24 Rebates.pdf</v>
      </c>
    </row>
    <row r="5" spans="1:28" x14ac:dyDescent="0.25">
      <c r="A5">
        <v>88002094</v>
      </c>
      <c r="B5" t="s">
        <v>558</v>
      </c>
      <c r="C5" t="s">
        <v>64</v>
      </c>
      <c r="D5" t="s">
        <v>89</v>
      </c>
      <c r="E5" t="s">
        <v>88</v>
      </c>
      <c r="F5" t="s">
        <v>68</v>
      </c>
      <c r="G5" t="s">
        <v>91</v>
      </c>
      <c r="H5" t="s">
        <v>559</v>
      </c>
      <c r="I5" t="s">
        <v>560</v>
      </c>
      <c r="J5" s="18">
        <v>449621</v>
      </c>
      <c r="K5" s="18">
        <v>248352</v>
      </c>
      <c r="L5" s="18">
        <v>3437</v>
      </c>
      <c r="M5" s="18">
        <v>0</v>
      </c>
      <c r="N5" s="18">
        <v>6978</v>
      </c>
      <c r="O5" s="18">
        <v>14904</v>
      </c>
      <c r="P5" s="18">
        <v>28752</v>
      </c>
      <c r="Q5" s="18">
        <v>20388</v>
      </c>
      <c r="R5">
        <v>126810</v>
      </c>
      <c r="S5" t="s">
        <v>561</v>
      </c>
      <c r="T5" t="s">
        <v>562</v>
      </c>
      <c r="X5" s="17" t="str">
        <f>HYPERLINK("REBATE - Savings Tracker\Rebate attachments - 10092024\Medline ACH Payment Confirmation for Medline Q2-2024 Rebate.pdf", "Medline ACH Payment Confirmation for Medline Q2-2024 Rebate.pdf")</f>
        <v>Medline ACH Payment Confirmation for Medline Q2-2024 Rebate.pdf</v>
      </c>
      <c r="Y5" s="17" t="str">
        <f>HYPERLINK("REBATE - Savings Tracker\Rebate attachments - 10092024\Medline Rebate Q2-2024.xlsx", "Medline Rebate Q2-2024.xlsx")</f>
        <v>Medline Rebate Q2-2024.xlsx</v>
      </c>
    </row>
    <row r="6" spans="1:28" x14ac:dyDescent="0.25">
      <c r="A6">
        <v>88002095</v>
      </c>
      <c r="B6" t="s">
        <v>563</v>
      </c>
      <c r="C6" t="s">
        <v>76</v>
      </c>
      <c r="D6" t="s">
        <v>159</v>
      </c>
      <c r="E6" t="s">
        <v>58</v>
      </c>
      <c r="F6" t="s">
        <v>68</v>
      </c>
      <c r="G6" t="s">
        <v>87</v>
      </c>
      <c r="H6" t="s">
        <v>564</v>
      </c>
      <c r="I6" t="s">
        <v>565</v>
      </c>
      <c r="J6" s="18">
        <v>10200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500</v>
      </c>
      <c r="Q6" s="18">
        <v>500</v>
      </c>
      <c r="R6">
        <v>9200</v>
      </c>
      <c r="S6" t="s">
        <v>566</v>
      </c>
      <c r="T6" t="s">
        <v>567</v>
      </c>
      <c r="U6" t="s">
        <v>568</v>
      </c>
      <c r="V6" t="s">
        <v>569</v>
      </c>
      <c r="W6" t="s">
        <v>570</v>
      </c>
      <c r="X6" s="17" t="str">
        <f>HYPERLINK("REBATE - Savings Tracker\Rebate attachments - 10092024\Medtronic CRM LINQ Rebate Contract Info.pdf", "Medtronic CRM LINQ Rebate Contract Info.pdf")</f>
        <v>Medtronic CRM LINQ Rebate Contract Info.pdf</v>
      </c>
      <c r="Y6" s="17" t="str">
        <f>HYPERLINK("REBATE - Savings Tracker\Rebate attachments - 10092024\Medtronic LINQ Rebate Analysis 10..24.xlsx", "Medtronic LINQ Rebate Analysis 10..24.xlsx")</f>
        <v>Medtronic LINQ Rebate Analysis 10..24.xlsx</v>
      </c>
      <c r="Z6" s="17" t="str">
        <f>HYPERLINK("REBATE - Savings Tracker\Rebate attachments - 10092024\Nyack Medtronic LINQ Credit Memo 10.7.24.pdf", "Nyack Medtronic LINQ Credit Memo 10.7.24.pdf")</f>
        <v>Nyack Medtronic LINQ Credit Memo 10.7.24.pdf</v>
      </c>
      <c r="AA6" s="17" t="str">
        <f>HYPERLINK("REBATE - Savings Tracker\Rebate attachments - 10092024\St. Lukes Medtronic LINQ Credit Memo 10.7.24.pdf", "St. Lukes Medtronic LINQ Credit Memo 10.7.24.pdf")</f>
        <v>St. Lukes Medtronic LINQ Credit Memo 10.7.24.pdf</v>
      </c>
      <c r="AB6" s="17" t="str">
        <f>HYPERLINK("REBATE - Savings Tracker\Rebate attachments - 10092024\White Plains Medtronic LINQ Credit Memo 10.7.24.pdf", "White Plains Medtronic LINQ Credit Memo 10.7.24.pdf")</f>
        <v>White Plains Medtronic LINQ Credit Memo 10.7.24.pdf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3"/>
  <sheetViews>
    <sheetView topLeftCell="N1" workbookViewId="0">
      <selection activeCell="G2" sqref="G2:G8"/>
    </sheetView>
  </sheetViews>
  <sheetFormatPr defaultRowHeight="15" x14ac:dyDescent="0.25"/>
  <cols>
    <col min="1" max="1" width="10.85546875" bestFit="1" customWidth="1"/>
    <col min="2" max="2" width="21.42578125" customWidth="1"/>
    <col min="3" max="3" width="13.5703125" bestFit="1" customWidth="1"/>
    <col min="4" max="4" width="30.42578125" bestFit="1" customWidth="1"/>
    <col min="5" max="5" width="32.85546875" bestFit="1" customWidth="1"/>
    <col min="6" max="6" width="15.5703125" bestFit="1" customWidth="1"/>
    <col min="7" max="7" width="44.5703125" bestFit="1" customWidth="1"/>
    <col min="8" max="8" width="19" style="1" bestFit="1" customWidth="1"/>
    <col min="9" max="9" width="21.85546875" bestFit="1" customWidth="1"/>
    <col min="10" max="10" width="14.7109375" bestFit="1" customWidth="1"/>
    <col min="11" max="11" width="16.7109375" style="2" bestFit="1" customWidth="1"/>
    <col min="12" max="12" width="14" style="2" bestFit="1" customWidth="1"/>
    <col min="13" max="13" width="15" style="2" bestFit="1" customWidth="1"/>
    <col min="14" max="14" width="15.85546875" style="2" bestFit="1" customWidth="1"/>
    <col min="15" max="15" width="15.5703125" style="2" bestFit="1" customWidth="1"/>
    <col min="16" max="16" width="14.42578125" style="2" bestFit="1" customWidth="1"/>
    <col min="17" max="17" width="15.28515625" style="2" bestFit="1" customWidth="1"/>
    <col min="18" max="18" width="13.42578125" style="2" bestFit="1" customWidth="1"/>
    <col min="19" max="19" width="13.5703125" style="2" bestFit="1" customWidth="1"/>
    <col min="20" max="20" width="30.42578125" style="2" hidden="1" customWidth="1"/>
    <col min="21" max="21" width="92" customWidth="1"/>
    <col min="22" max="22" width="55" hidden="1" customWidth="1"/>
    <col min="23" max="23" width="78.85546875" bestFit="1" customWidth="1"/>
    <col min="24" max="24" width="60.7109375" hidden="1" customWidth="1"/>
    <col min="25" max="25" width="66.42578125" bestFit="1" customWidth="1"/>
    <col min="26" max="26" width="66.42578125" hidden="1" customWidth="1"/>
    <col min="27" max="27" width="62.85546875" bestFit="1" customWidth="1"/>
  </cols>
  <sheetData>
    <row r="1" spans="1:27" x14ac:dyDescent="0.25">
      <c r="A1" s="12" t="s">
        <v>0</v>
      </c>
      <c r="B1" s="12" t="s">
        <v>115</v>
      </c>
      <c r="C1" s="12" t="s">
        <v>116</v>
      </c>
      <c r="D1" s="12" t="s">
        <v>117</v>
      </c>
      <c r="E1" s="12" t="s">
        <v>118</v>
      </c>
      <c r="F1" s="12" t="s">
        <v>119</v>
      </c>
      <c r="G1" s="12" t="s">
        <v>120</v>
      </c>
      <c r="H1" s="12" t="s">
        <v>121</v>
      </c>
      <c r="I1" s="12" t="s">
        <v>122</v>
      </c>
      <c r="J1" s="12" t="s">
        <v>123</v>
      </c>
      <c r="K1" s="15" t="s">
        <v>124</v>
      </c>
      <c r="L1" s="16" t="s">
        <v>125</v>
      </c>
      <c r="M1" s="16" t="s">
        <v>126</v>
      </c>
      <c r="N1" s="16" t="s">
        <v>127</v>
      </c>
      <c r="O1" s="16" t="s">
        <v>128</v>
      </c>
      <c r="P1" s="16" t="s">
        <v>129</v>
      </c>
      <c r="Q1" s="16" t="s">
        <v>130</v>
      </c>
      <c r="R1" s="16" t="s">
        <v>131</v>
      </c>
      <c r="S1" s="16" t="s">
        <v>132</v>
      </c>
      <c r="T1" s="14" t="s">
        <v>571</v>
      </c>
      <c r="U1" s="13" t="s">
        <v>572</v>
      </c>
      <c r="V1" s="13" t="s">
        <v>573</v>
      </c>
      <c r="W1" s="13" t="s">
        <v>574</v>
      </c>
      <c r="X1" s="13" t="s">
        <v>575</v>
      </c>
      <c r="Y1" s="13" t="s">
        <v>576</v>
      </c>
      <c r="Z1" s="13" t="s">
        <v>577</v>
      </c>
      <c r="AA1" s="13" t="s">
        <v>578</v>
      </c>
    </row>
    <row r="2" spans="1:27" x14ac:dyDescent="0.25">
      <c r="A2">
        <v>88002034</v>
      </c>
      <c r="B2" t="s">
        <v>134</v>
      </c>
      <c r="C2" t="s">
        <v>64</v>
      </c>
      <c r="D2" t="s">
        <v>135</v>
      </c>
      <c r="E2" t="s">
        <v>136</v>
      </c>
      <c r="F2" t="s">
        <v>68</v>
      </c>
      <c r="G2" t="s">
        <v>137</v>
      </c>
      <c r="H2" s="1">
        <v>45441</v>
      </c>
      <c r="K2" s="2">
        <v>476022</v>
      </c>
      <c r="L2" s="2">
        <v>95810</v>
      </c>
      <c r="M2" s="2">
        <v>1577</v>
      </c>
      <c r="N2" s="2">
        <v>0</v>
      </c>
      <c r="O2" s="2">
        <v>1487</v>
      </c>
      <c r="P2" s="2">
        <v>3640</v>
      </c>
      <c r="Q2" s="2">
        <v>2419</v>
      </c>
      <c r="R2" s="2">
        <v>0</v>
      </c>
      <c r="S2" s="2">
        <v>371089</v>
      </c>
      <c r="T2" s="2" t="s">
        <v>579</v>
      </c>
      <c r="U2" s="9" t="str">
        <f t="shared" ref="U2:U13" si="0">HYPERLINK(T2,MID(T2, FIND("~", SUBSTITUTE(T2, "\", "~", 2)) + 1, LEN(T2)))</f>
        <v>88002034_20240612181746_S-ACURITY-GYNHA-01JAN19 - rebate - Jan- May 2024.xlsx</v>
      </c>
      <c r="V2" s="2" t="s">
        <v>579</v>
      </c>
      <c r="W2" s="9" t="str">
        <f t="shared" ref="W2:W9" si="1">HYPERLINK(V2,MID(V2, FIND("~", SUBSTITUTE(V2, "\", "~", 2)) + 1, LEN(V2)))</f>
        <v>88002034_20240612181746_S-ACURITY-GYNHA-01JAN19 - rebate - Jan- May 2024.xlsx</v>
      </c>
      <c r="X2" t="s">
        <v>580</v>
      </c>
      <c r="Y2" s="9" t="str">
        <f>HYPERLINK(X2,MID(X2, FIND("~", SUBSTITUTE(X2, "\", "~", 2)) + 1, LEN(X2)))</f>
        <v>88002034_20240716091310_Premier Pharmacy Rebates process email.pdf</v>
      </c>
      <c r="AA2" s="9"/>
    </row>
    <row r="3" spans="1:27" x14ac:dyDescent="0.25">
      <c r="A3">
        <v>88002038</v>
      </c>
      <c r="B3" t="s">
        <v>142</v>
      </c>
      <c r="C3" t="s">
        <v>64</v>
      </c>
      <c r="D3" t="s">
        <v>135</v>
      </c>
      <c r="E3" t="s">
        <v>73</v>
      </c>
      <c r="F3" t="s">
        <v>68</v>
      </c>
      <c r="G3" t="s">
        <v>137</v>
      </c>
      <c r="H3" s="1">
        <v>45378</v>
      </c>
      <c r="K3" s="2">
        <v>17518</v>
      </c>
      <c r="L3" s="2">
        <v>12678</v>
      </c>
      <c r="M3" s="2">
        <v>0</v>
      </c>
      <c r="N3" s="2">
        <v>511</v>
      </c>
      <c r="O3" s="2">
        <v>1951</v>
      </c>
      <c r="P3" s="2">
        <v>2378</v>
      </c>
      <c r="Q3" s="2">
        <v>0</v>
      </c>
      <c r="R3" s="2">
        <v>0</v>
      </c>
      <c r="S3" s="2">
        <v>0</v>
      </c>
      <c r="T3" s="2" t="s">
        <v>581</v>
      </c>
      <c r="U3" s="9" t="str">
        <f t="shared" si="0"/>
        <v>88002038_20240618090440_Premier rebates file-  6.5.2024_FoodService.xlsx</v>
      </c>
      <c r="V3" s="2" t="s">
        <v>582</v>
      </c>
      <c r="W3" s="9" t="str">
        <f t="shared" si="1"/>
        <v>FoodServiceRebateInfo_20240807143558.docx</v>
      </c>
      <c r="Y3" s="9"/>
      <c r="AA3" s="9"/>
    </row>
    <row r="4" spans="1:27" x14ac:dyDescent="0.25">
      <c r="A4">
        <v>88002040</v>
      </c>
      <c r="B4" t="s">
        <v>145</v>
      </c>
      <c r="C4" t="s">
        <v>64</v>
      </c>
      <c r="D4" t="s">
        <v>135</v>
      </c>
      <c r="E4" t="s">
        <v>88</v>
      </c>
      <c r="F4" t="s">
        <v>68</v>
      </c>
      <c r="G4" t="s">
        <v>137</v>
      </c>
      <c r="H4" s="1">
        <v>45434</v>
      </c>
      <c r="K4" s="2">
        <v>177257</v>
      </c>
      <c r="L4" s="2">
        <v>127598</v>
      </c>
      <c r="M4" s="2">
        <v>8</v>
      </c>
      <c r="N4" s="2">
        <v>0</v>
      </c>
      <c r="O4" s="2">
        <v>0</v>
      </c>
      <c r="P4" s="2">
        <v>13520</v>
      </c>
      <c r="Q4" s="2">
        <v>688</v>
      </c>
      <c r="R4" s="2">
        <v>0</v>
      </c>
      <c r="S4" s="2">
        <v>35443</v>
      </c>
      <c r="T4" s="2" t="s">
        <v>583</v>
      </c>
      <c r="U4" s="9" t="str">
        <f t="shared" si="0"/>
        <v>88002040_20240618104508_Med Surg_Premier rebates file_ 6.5.2024.xlsx</v>
      </c>
      <c r="V4" s="2" t="s">
        <v>584</v>
      </c>
      <c r="W4" s="9" t="str">
        <f t="shared" si="1"/>
        <v>Deirdre Archie email 2024-08-22_20240828122037.png</v>
      </c>
      <c r="X4" t="s">
        <v>585</v>
      </c>
      <c r="Y4" s="9" t="str">
        <f t="shared" ref="Y4:Y9" si="2">HYPERLINK(X4,MID(X4, FIND("~", SUBSTITUTE(X4, "\", "~", 2)) + 1, LEN(X4)))</f>
        <v>MedSurg Rebate Detail Report _June2024_20240807103122.xlsx</v>
      </c>
      <c r="Z4" t="s">
        <v>586</v>
      </c>
      <c r="AA4" s="9" t="str">
        <f>HYPERLINK(Z4,MID(Z4, FIND("~", SUBSTITUTE(Z4, "\", "~", 2)) + 1, LEN(Z4)))</f>
        <v>MedSurg Rebate Detail Report _June2024revised_20240828122037.xlsx</v>
      </c>
    </row>
    <row r="5" spans="1:27" x14ac:dyDescent="0.25">
      <c r="A5">
        <v>88002043</v>
      </c>
      <c r="B5" t="s">
        <v>150</v>
      </c>
      <c r="C5" t="s">
        <v>76</v>
      </c>
      <c r="D5" t="s">
        <v>151</v>
      </c>
      <c r="E5" t="s">
        <v>80</v>
      </c>
      <c r="F5" t="s">
        <v>68</v>
      </c>
      <c r="G5" t="s">
        <v>152</v>
      </c>
      <c r="H5" s="1">
        <v>45462</v>
      </c>
      <c r="I5" t="s">
        <v>153</v>
      </c>
      <c r="J5" t="s">
        <v>154</v>
      </c>
      <c r="K5" s="2">
        <v>123054</v>
      </c>
      <c r="L5" s="2">
        <v>46645</v>
      </c>
      <c r="M5" s="2">
        <v>0</v>
      </c>
      <c r="N5" s="2">
        <v>2772</v>
      </c>
      <c r="O5" s="2">
        <v>3046</v>
      </c>
      <c r="P5" s="2">
        <v>8686</v>
      </c>
      <c r="Q5" s="2">
        <v>29373</v>
      </c>
      <c r="R5" s="2">
        <v>11026</v>
      </c>
      <c r="S5" s="2">
        <v>21505</v>
      </c>
      <c r="T5" s="2" t="s">
        <v>587</v>
      </c>
      <c r="U5" s="9" t="str">
        <f t="shared" si="0"/>
        <v>88002043_20240723155610_Terumo Rebate 7.2.24.pdf</v>
      </c>
      <c r="V5" s="2" t="s">
        <v>588</v>
      </c>
      <c r="W5" s="9" t="str">
        <f t="shared" si="1"/>
        <v>Terumo Rebate Analysis 7.24.24_20240724140010.xlsm</v>
      </c>
      <c r="X5" t="s">
        <v>589</v>
      </c>
      <c r="Y5" s="9" t="str">
        <f t="shared" si="2"/>
        <v>Terumo Rebate Info 7.24.24_20240724140010.pdf</v>
      </c>
      <c r="AA5" s="9"/>
    </row>
    <row r="6" spans="1:27" x14ac:dyDescent="0.25">
      <c r="A6">
        <v>88002045</v>
      </c>
      <c r="B6" t="s">
        <v>158</v>
      </c>
      <c r="C6" t="s">
        <v>76</v>
      </c>
      <c r="D6" t="s">
        <v>159</v>
      </c>
      <c r="E6" t="s">
        <v>58</v>
      </c>
      <c r="F6" t="s">
        <v>68</v>
      </c>
      <c r="G6" t="s">
        <v>87</v>
      </c>
      <c r="H6" s="1">
        <v>45492</v>
      </c>
      <c r="I6" t="s">
        <v>153</v>
      </c>
      <c r="J6" t="s">
        <v>160</v>
      </c>
      <c r="K6" s="2">
        <v>4200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100</v>
      </c>
      <c r="R6" s="2">
        <v>300</v>
      </c>
      <c r="S6" s="2">
        <v>3800</v>
      </c>
      <c r="T6" s="2" t="s">
        <v>590</v>
      </c>
      <c r="U6" s="9" t="str">
        <f t="shared" si="0"/>
        <v>Montefiore Health System_CDS_19479_104977_1.27.24_4.26.24_ZDMF_555104.xlsx</v>
      </c>
      <c r="V6" s="2" t="s">
        <v>591</v>
      </c>
      <c r="W6" s="9" t="str">
        <f t="shared" si="1"/>
        <v>Nyack Credit_1800102787_2024_07_19.pdf</v>
      </c>
      <c r="X6" t="s">
        <v>592</v>
      </c>
      <c r="Y6" s="9" t="str">
        <f t="shared" si="2"/>
        <v>St. Lukes Credit_1800102787_2024_07_19.pdf</v>
      </c>
      <c r="Z6" t="s">
        <v>593</v>
      </c>
      <c r="AA6" s="9" t="str">
        <f>HYPERLINK(Z6,MID(Z6, FIND("~", SUBSTITUTE(Z6, "\", "~", 2)) + 1, LEN(Z6)))</f>
        <v>WP Credit_1800102787_2024_07_19 (003).pdf</v>
      </c>
    </row>
    <row r="7" spans="1:27" x14ac:dyDescent="0.25">
      <c r="A7">
        <v>88002046</v>
      </c>
      <c r="B7" t="s">
        <v>165</v>
      </c>
      <c r="C7" t="s">
        <v>76</v>
      </c>
      <c r="D7" t="s">
        <v>59</v>
      </c>
      <c r="E7" t="s">
        <v>58</v>
      </c>
      <c r="F7" t="s">
        <v>68</v>
      </c>
      <c r="G7" t="s">
        <v>67</v>
      </c>
      <c r="H7" s="1">
        <v>45398</v>
      </c>
      <c r="I7" t="s">
        <v>153</v>
      </c>
      <c r="J7" t="s">
        <v>166</v>
      </c>
      <c r="K7" s="2">
        <v>24000</v>
      </c>
      <c r="L7" s="2">
        <v>24000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594</v>
      </c>
      <c r="U7" s="9" t="str">
        <f t="shared" si="0"/>
        <v>Analysis Montefiore PAS2MA Rebate January 1 - March 31 2024.xlsx</v>
      </c>
      <c r="V7" s="2" t="s">
        <v>595</v>
      </c>
      <c r="W7" s="9" t="str">
        <f t="shared" si="1"/>
        <v>Montefiore Health Rebate Achievement Letter Jan - March 2024.pdf</v>
      </c>
      <c r="X7" t="s">
        <v>596</v>
      </c>
      <c r="Y7" s="9" t="str">
        <f t="shared" si="2"/>
        <v>Montefiore Med Ctr Credit Memo Jan - March 2024.pdf</v>
      </c>
      <c r="AA7" s="9"/>
    </row>
    <row r="8" spans="1:27" x14ac:dyDescent="0.25">
      <c r="A8">
        <v>88002050</v>
      </c>
      <c r="B8" t="s">
        <v>170</v>
      </c>
      <c r="C8" t="s">
        <v>76</v>
      </c>
      <c r="D8" t="s">
        <v>171</v>
      </c>
      <c r="E8" t="s">
        <v>58</v>
      </c>
      <c r="F8" t="s">
        <v>68</v>
      </c>
      <c r="G8" t="s">
        <v>172</v>
      </c>
      <c r="H8" s="1">
        <v>45468</v>
      </c>
      <c r="I8" t="s">
        <v>153</v>
      </c>
      <c r="J8" t="s">
        <v>173</v>
      </c>
      <c r="K8" s="2">
        <v>404500</v>
      </c>
      <c r="L8" s="2">
        <v>233500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171000</v>
      </c>
      <c r="T8" s="2" t="s">
        <v>597</v>
      </c>
      <c r="U8" s="9" t="str">
        <f t="shared" si="0"/>
        <v>19239_Montefiore Medical Center_WM_Rebate Notification_Credit Memo_2024_03.pdf</v>
      </c>
      <c r="V8" s="2" t="s">
        <v>598</v>
      </c>
      <c r="W8" s="9" t="str">
        <f t="shared" si="1"/>
        <v>25871_White Plains Hospital Center_WM_Rebate Notification_Credit Memo_2024_03.pdf</v>
      </c>
      <c r="X8" t="s">
        <v>599</v>
      </c>
      <c r="Y8" s="9" t="str">
        <f t="shared" si="2"/>
        <v>Paper Copy Credit Memo_20240807155346.pdf</v>
      </c>
      <c r="Z8" t="s">
        <v>600</v>
      </c>
      <c r="AA8" s="9" t="str">
        <f>HYPERLINK(Z8,MID(Z8, FIND("~", SUBSTITUTE(Z8, "\", "~", 2)) + 1, LEN(Z8)))</f>
        <v>Watchman Rebate Contract Information 8_7_24.pdf</v>
      </c>
    </row>
    <row r="9" spans="1:27" x14ac:dyDescent="0.25">
      <c r="A9">
        <v>88002051</v>
      </c>
      <c r="B9" t="s">
        <v>178</v>
      </c>
      <c r="C9" t="s">
        <v>76</v>
      </c>
      <c r="D9" t="s">
        <v>171</v>
      </c>
      <c r="E9" t="s">
        <v>58</v>
      </c>
      <c r="F9" t="s">
        <v>68</v>
      </c>
      <c r="G9" t="s">
        <v>172</v>
      </c>
      <c r="H9" s="1">
        <v>45502</v>
      </c>
      <c r="I9" t="s">
        <v>153</v>
      </c>
      <c r="J9" t="s">
        <v>179</v>
      </c>
      <c r="K9" s="2">
        <v>328000</v>
      </c>
      <c r="L9" s="2">
        <v>160000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168000</v>
      </c>
      <c r="T9" s="2" t="s">
        <v>601</v>
      </c>
      <c r="U9" s="9" t="str">
        <f t="shared" si="0"/>
        <v>90231_Montefiore Health System_WM_Rebate Notification_Credit Memo_2024_06 (002).pdf</v>
      </c>
      <c r="V9" s="2" t="s">
        <v>602</v>
      </c>
      <c r="W9" s="9" t="str">
        <f t="shared" si="1"/>
        <v>Montefiore Hard Copies_20240807160121.pdf</v>
      </c>
      <c r="X9" t="s">
        <v>600</v>
      </c>
      <c r="Y9" s="9" t="str">
        <f t="shared" si="2"/>
        <v>Watchman Rebate Contract Information 8_7_24.pdf</v>
      </c>
      <c r="AA9" s="9"/>
    </row>
    <row r="10" spans="1:27" x14ac:dyDescent="0.25">
      <c r="A10">
        <v>88002053</v>
      </c>
      <c r="B10" t="s">
        <v>182</v>
      </c>
      <c r="C10" t="s">
        <v>64</v>
      </c>
      <c r="D10" t="s">
        <v>183</v>
      </c>
      <c r="E10" t="s">
        <v>136</v>
      </c>
      <c r="F10" t="s">
        <v>102</v>
      </c>
      <c r="G10" t="s">
        <v>137</v>
      </c>
      <c r="H10" s="1">
        <v>45471</v>
      </c>
      <c r="J10" t="s">
        <v>184</v>
      </c>
      <c r="K10" s="2">
        <v>268074</v>
      </c>
      <c r="L10" s="2">
        <v>48323</v>
      </c>
      <c r="M10" s="2">
        <v>1678</v>
      </c>
      <c r="N10" s="2">
        <v>0</v>
      </c>
      <c r="O10" s="2">
        <v>1253</v>
      </c>
      <c r="P10" s="2">
        <v>2427</v>
      </c>
      <c r="Q10" s="2">
        <v>3242</v>
      </c>
      <c r="R10" s="2">
        <v>3558</v>
      </c>
      <c r="S10" s="2">
        <v>207593</v>
      </c>
      <c r="T10" s="2" t="s">
        <v>603</v>
      </c>
      <c r="U10" s="9" t="str">
        <f t="shared" si="0"/>
        <v>2 Q24 Premier- Montefiore Pharmacy Rebates .xlsx</v>
      </c>
      <c r="V10" s="2"/>
      <c r="W10" s="9"/>
      <c r="AA10" s="9"/>
    </row>
    <row r="11" spans="1:27" x14ac:dyDescent="0.25">
      <c r="A11">
        <v>88002055</v>
      </c>
      <c r="B11" t="s">
        <v>186</v>
      </c>
      <c r="C11" t="s">
        <v>76</v>
      </c>
      <c r="D11" t="s">
        <v>70</v>
      </c>
      <c r="E11" t="s">
        <v>58</v>
      </c>
      <c r="F11" t="s">
        <v>68</v>
      </c>
      <c r="G11" t="s">
        <v>67</v>
      </c>
      <c r="H11" s="1">
        <v>45509</v>
      </c>
      <c r="J11" t="s">
        <v>187</v>
      </c>
      <c r="K11" s="2">
        <v>69000</v>
      </c>
      <c r="L11" s="2">
        <v>69000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604</v>
      </c>
      <c r="U11" s="9" t="str">
        <f t="shared" si="0"/>
        <v>MONTEFIORE MEDICAL CENTER - MOSES DIVISI_Q2_2024_Quarterly Achieved Rebate with Credit Memo.pdf</v>
      </c>
      <c r="V11" s="2" t="s">
        <v>605</v>
      </c>
      <c r="W11" s="9" t="str">
        <f>HYPERLINK(V11,MID(V11, FIND("~", SUBSTITUTE(V11, "\", "~", 2)) + 1, LEN(V11)))</f>
        <v>Rebate Information Amendment 8.27.24.pdf</v>
      </c>
    </row>
    <row r="12" spans="1:27" x14ac:dyDescent="0.25">
      <c r="A12">
        <v>88002058</v>
      </c>
      <c r="B12" t="s">
        <v>190</v>
      </c>
      <c r="C12" t="s">
        <v>64</v>
      </c>
      <c r="D12" t="s">
        <v>89</v>
      </c>
      <c r="E12" t="s">
        <v>88</v>
      </c>
      <c r="F12" t="s">
        <v>68</v>
      </c>
      <c r="G12" t="s">
        <v>91</v>
      </c>
      <c r="H12" s="1">
        <v>45517</v>
      </c>
      <c r="J12" t="s">
        <v>191</v>
      </c>
      <c r="K12" s="2">
        <v>506537</v>
      </c>
      <c r="L12" s="2">
        <v>289919</v>
      </c>
      <c r="M12" s="2">
        <v>4830</v>
      </c>
      <c r="N12" s="2">
        <v>1621</v>
      </c>
      <c r="O12" s="2">
        <v>9208</v>
      </c>
      <c r="P12" s="2">
        <v>22316</v>
      </c>
      <c r="Q12" s="2">
        <v>26872</v>
      </c>
      <c r="R12" s="2">
        <v>19632</v>
      </c>
      <c r="S12" s="2">
        <v>132139</v>
      </c>
      <c r="T12" s="2" t="s">
        <v>606</v>
      </c>
      <c r="U12" s="9" t="str">
        <f t="shared" si="0"/>
        <v>Medline Montefiore 1Q24 rebate detail.xlsx</v>
      </c>
      <c r="V12" s="2" t="s">
        <v>607</v>
      </c>
      <c r="W12" s="9" t="str">
        <f>HYPERLINK(V12,MID(V12, FIND("~", SUBSTITUTE(V12, "\", "~", 2)) + 1, LEN(V12)))</f>
        <v>Medline Payment Advice 08132024 - Acc 2069398.pdf</v>
      </c>
    </row>
    <row r="13" spans="1:27" x14ac:dyDescent="0.25">
      <c r="A13">
        <v>88002059</v>
      </c>
      <c r="B13" t="s">
        <v>194</v>
      </c>
      <c r="C13" t="s">
        <v>76</v>
      </c>
      <c r="D13" t="s">
        <v>195</v>
      </c>
      <c r="E13" t="s">
        <v>136</v>
      </c>
      <c r="F13" t="s">
        <v>68</v>
      </c>
      <c r="G13" t="s">
        <v>196</v>
      </c>
      <c r="H13" s="1">
        <v>45504</v>
      </c>
      <c r="J13" t="s">
        <v>197</v>
      </c>
      <c r="K13" s="2">
        <v>216704</v>
      </c>
      <c r="L13" s="2">
        <v>127827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88877</v>
      </c>
      <c r="T13" s="2" t="s">
        <v>608</v>
      </c>
      <c r="U13" s="9" t="str">
        <f t="shared" si="0"/>
        <v>23B_PharmOverlay_IMD_MONTEFIORE HEALTH SYSTEM INC_OCT23-MAR24.xlsm</v>
      </c>
      <c r="V13" s="2" t="s">
        <v>609</v>
      </c>
      <c r="W13" s="9" t="str">
        <f>HYPERLINK(V13,MID(V13, FIND("~", SUBSTITUTE(V13, "\", "~", 2)) + 1, LEN(V13)))</f>
        <v>Check image - J&amp;J - 2024-08-13.pdf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2"/>
  <sheetViews>
    <sheetView workbookViewId="0">
      <selection activeCell="G2" sqref="G2:G8"/>
    </sheetView>
  </sheetViews>
  <sheetFormatPr defaultColWidth="19.28515625" defaultRowHeight="15" x14ac:dyDescent="0.25"/>
  <cols>
    <col min="1" max="1" width="12.5703125" customWidth="1"/>
    <col min="2" max="2" width="24.5703125" customWidth="1"/>
    <col min="3" max="3" width="20.42578125" customWidth="1"/>
    <col min="4" max="4" width="22.5703125" customWidth="1"/>
    <col min="6" max="6" width="24.7109375" customWidth="1"/>
    <col min="7" max="7" width="22.140625" customWidth="1"/>
    <col min="8" max="8" width="15.5703125" bestFit="1" customWidth="1"/>
    <col min="9" max="9" width="19.7109375" customWidth="1"/>
    <col min="10" max="10" width="20.7109375" customWidth="1"/>
    <col min="11" max="11" width="22.140625" customWidth="1"/>
    <col min="12" max="12" width="21.42578125" customWidth="1"/>
    <col min="13" max="13" width="22.28515625" customWidth="1"/>
    <col min="14" max="14" width="20.5703125" customWidth="1"/>
    <col min="15" max="15" width="21" customWidth="1"/>
    <col min="16" max="16" width="20" customWidth="1"/>
    <col min="17" max="17" width="22.7109375" customWidth="1"/>
    <col min="18" max="18" width="29.5703125" customWidth="1"/>
    <col min="19" max="19" width="138.85546875" bestFit="1" customWidth="1"/>
    <col min="20" max="20" width="108.42578125" hidden="1" customWidth="1"/>
    <col min="21" max="21" width="108.42578125" bestFit="1" customWidth="1"/>
    <col min="22" max="22" width="21.140625" hidden="1" customWidth="1"/>
    <col min="23" max="23" width="95.42578125" bestFit="1" customWidth="1"/>
  </cols>
  <sheetData>
    <row r="1" spans="1:38" x14ac:dyDescent="0.25">
      <c r="A1" t="s">
        <v>0</v>
      </c>
      <c r="B1" t="s">
        <v>610</v>
      </c>
      <c r="C1" t="s">
        <v>611</v>
      </c>
      <c r="D1" t="s">
        <v>612</v>
      </c>
      <c r="E1" t="s">
        <v>613</v>
      </c>
      <c r="F1" t="s">
        <v>614</v>
      </c>
      <c r="G1" t="s">
        <v>615</v>
      </c>
      <c r="H1" s="1" t="s">
        <v>616</v>
      </c>
      <c r="I1" s="5" t="s">
        <v>617</v>
      </c>
      <c r="J1" s="6" t="s">
        <v>618</v>
      </c>
      <c r="K1" s="6" t="s">
        <v>619</v>
      </c>
      <c r="L1" s="6" t="s">
        <v>620</v>
      </c>
      <c r="M1" s="6" t="s">
        <v>621</v>
      </c>
      <c r="N1" s="6" t="s">
        <v>622</v>
      </c>
      <c r="O1" s="6" t="s">
        <v>623</v>
      </c>
      <c r="P1" s="6" t="s">
        <v>624</v>
      </c>
      <c r="Q1" s="6" t="s">
        <v>625</v>
      </c>
      <c r="R1" t="s">
        <v>626</v>
      </c>
      <c r="S1" t="s">
        <v>627</v>
      </c>
      <c r="T1" t="s">
        <v>628</v>
      </c>
      <c r="U1" t="s">
        <v>629</v>
      </c>
      <c r="V1" t="s">
        <v>630</v>
      </c>
      <c r="W1" t="s">
        <v>631</v>
      </c>
    </row>
    <row r="2" spans="1:38" x14ac:dyDescent="0.25">
      <c r="A2">
        <v>88001010</v>
      </c>
      <c r="B2" t="s">
        <v>91</v>
      </c>
      <c r="C2" t="s">
        <v>68</v>
      </c>
      <c r="D2" t="s">
        <v>88</v>
      </c>
      <c r="E2">
        <v>1000099</v>
      </c>
      <c r="F2" t="s">
        <v>632</v>
      </c>
      <c r="G2" t="s">
        <v>633</v>
      </c>
      <c r="H2" s="1">
        <v>44743</v>
      </c>
      <c r="I2" s="11">
        <v>4334145</v>
      </c>
      <c r="J2" s="11">
        <v>2400324</v>
      </c>
      <c r="K2" s="11">
        <v>45474</v>
      </c>
      <c r="L2" s="11">
        <v>172476</v>
      </c>
      <c r="M2" s="11">
        <v>321540</v>
      </c>
      <c r="N2" s="11">
        <v>1147656</v>
      </c>
      <c r="O2" s="11">
        <v>200208</v>
      </c>
      <c r="P2" s="11">
        <v>46467</v>
      </c>
      <c r="Q2" s="11">
        <v>0</v>
      </c>
      <c r="R2" t="s">
        <v>634</v>
      </c>
      <c r="S2" s="9" t="str">
        <f>HYPERLINK(Table1[[#This Row],[Attachment-1]])</f>
        <v xml:space="preserve">Rebate_attachments\88001010_20240306165652_Medline Rebate Q3-2022, Q4-2022, Q1-2023, Q2-2023, Q3-2023.xlsx </v>
      </c>
      <c r="T2" t="s">
        <v>635</v>
      </c>
      <c r="U2" s="9" t="str">
        <f>HYPERLINK(Table1[[#This Row],[Attachment-2]])</f>
        <v xml:space="preserve">Rebate_attachments\88001010_20240408210627_Medline Rebate July2022 to Sept2023.xlsx </v>
      </c>
      <c r="V2" t="s">
        <v>636</v>
      </c>
      <c r="W2" s="9" t="str">
        <f>HYPERLINK(Table1[[#This Row],[Attachment-3]])</f>
        <v>Rebate_attachments\88001010_20240604113010_Medline ACH Backup for Q3-2022 to Q3-2023 Rebate.docx</v>
      </c>
    </row>
    <row r="3" spans="1:38" x14ac:dyDescent="0.25">
      <c r="A3">
        <v>88001011</v>
      </c>
      <c r="B3" t="s">
        <v>87</v>
      </c>
      <c r="C3" t="s">
        <v>68</v>
      </c>
      <c r="D3" t="s">
        <v>58</v>
      </c>
      <c r="E3" t="s">
        <v>159</v>
      </c>
      <c r="F3" t="s">
        <v>637</v>
      </c>
      <c r="G3" t="s">
        <v>638</v>
      </c>
      <c r="H3" s="1">
        <v>45136</v>
      </c>
      <c r="I3" s="11">
        <v>24400</v>
      </c>
      <c r="J3" s="11">
        <v>0</v>
      </c>
      <c r="K3" s="11">
        <v>0</v>
      </c>
      <c r="L3" s="11">
        <v>0</v>
      </c>
      <c r="M3" s="11">
        <v>200</v>
      </c>
      <c r="N3" s="11">
        <v>24200</v>
      </c>
      <c r="O3" s="11"/>
      <c r="P3" s="11">
        <v>0</v>
      </c>
      <c r="Q3" s="11">
        <v>0</v>
      </c>
      <c r="R3" t="s">
        <v>639</v>
      </c>
      <c r="S3" s="9" t="str">
        <f>HYPERLINK(Table1[[#This Row],[Attachment-1]])</f>
        <v>Rebate_attachments\88001011_20240306170124_Medtronic Linq Loop Recorder Rebate 7-29-2023 to 10-27-2023.pdf</v>
      </c>
      <c r="U3" s="9" t="str">
        <f>HYPERLINK(Table1[[#This Row],[Attachment-2]])</f>
        <v/>
      </c>
      <c r="W3" t="str">
        <f>HYPERLINK(Table1[[#This Row],[Attachment-3]])</f>
        <v/>
      </c>
    </row>
    <row r="4" spans="1:38" x14ac:dyDescent="0.25">
      <c r="A4">
        <v>88002029</v>
      </c>
      <c r="B4" t="s">
        <v>83</v>
      </c>
      <c r="C4" t="s">
        <v>68</v>
      </c>
      <c r="D4" t="s">
        <v>80</v>
      </c>
      <c r="E4" t="s">
        <v>81</v>
      </c>
      <c r="F4" t="s">
        <v>82</v>
      </c>
      <c r="G4" t="s">
        <v>640</v>
      </c>
      <c r="H4" s="1">
        <v>45292</v>
      </c>
      <c r="I4" s="11">
        <v>15508</v>
      </c>
      <c r="J4" s="11">
        <v>15508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t="s">
        <v>641</v>
      </c>
      <c r="S4" s="9" t="str">
        <f>HYPERLINK(Table1[[#This Row],[Attachment-1]])</f>
        <v xml:space="preserve">Rebate_attachments\88002029_20240612165235_88001009_20240228160745_Montefiore Health System_IDN_MONTEFIO_MCS Agreement_27Oct2021_FE.pdf </v>
      </c>
      <c r="T4" t="s">
        <v>642</v>
      </c>
      <c r="U4" s="9" t="str">
        <f>HYPERLINK(Table1[[#This Row],[Attachment-2]])</f>
        <v>Rebate_attachments\88002029_20240612165235_Abbott Rebate 6.12.24.pdf</v>
      </c>
      <c r="W4" t="str">
        <f>HYPERLINK(Table1[[#This Row],[Attachment-3]])</f>
        <v/>
      </c>
    </row>
    <row r="5" spans="1:38" x14ac:dyDescent="0.25">
      <c r="A5">
        <v>88002030</v>
      </c>
      <c r="B5" t="s">
        <v>216</v>
      </c>
      <c r="C5" t="s">
        <v>68</v>
      </c>
      <c r="D5" t="s">
        <v>88</v>
      </c>
      <c r="E5" t="s">
        <v>643</v>
      </c>
      <c r="F5" t="s">
        <v>644</v>
      </c>
      <c r="G5" t="s">
        <v>645</v>
      </c>
      <c r="H5" s="1">
        <v>44927</v>
      </c>
      <c r="I5" s="11">
        <v>335207</v>
      </c>
      <c r="J5" s="11">
        <v>225938</v>
      </c>
      <c r="K5" s="11">
        <v>2647</v>
      </c>
      <c r="L5" s="11">
        <v>8409</v>
      </c>
      <c r="M5" s="11">
        <v>25698</v>
      </c>
      <c r="N5" s="11">
        <v>52039</v>
      </c>
      <c r="O5" s="11">
        <v>20074</v>
      </c>
      <c r="P5" s="11">
        <v>402</v>
      </c>
      <c r="Q5" s="11">
        <v>0</v>
      </c>
      <c r="R5" t="s">
        <v>646</v>
      </c>
      <c r="S5" s="9" t="str">
        <f>HYPERLINK(Table1[[#This Row],[Attachment-1]])</f>
        <v>Rebate_attachments\88002030_20240612172817_BD Strategic Collaboration Agreement Rebate Jan2023-Dec2023.xlsx</v>
      </c>
      <c r="U5" s="9" t="str">
        <f>HYPERLINK(Table1[[#This Row],[Attachment-2]])</f>
        <v/>
      </c>
      <c r="W5" t="str">
        <f>HYPERLINK(Table1[[#This Row],[Attachment-3]])</f>
        <v/>
      </c>
    </row>
    <row r="6" spans="1:38" x14ac:dyDescent="0.25">
      <c r="A6">
        <v>88002035</v>
      </c>
      <c r="B6" t="s">
        <v>354</v>
      </c>
      <c r="C6" t="s">
        <v>68</v>
      </c>
      <c r="D6" t="s">
        <v>136</v>
      </c>
      <c r="E6" t="s">
        <v>353</v>
      </c>
      <c r="F6" t="s">
        <v>647</v>
      </c>
      <c r="G6" t="s">
        <v>648</v>
      </c>
      <c r="H6" s="1">
        <v>45292</v>
      </c>
      <c r="I6" s="11">
        <v>663460</v>
      </c>
      <c r="J6" s="11">
        <v>494486</v>
      </c>
      <c r="K6" s="11">
        <v>7776</v>
      </c>
      <c r="L6" s="11">
        <v>11344</v>
      </c>
      <c r="M6" s="11">
        <v>22150</v>
      </c>
      <c r="N6" s="11">
        <v>71758</v>
      </c>
      <c r="O6" s="11">
        <v>36632</v>
      </c>
      <c r="P6" s="11">
        <v>18094</v>
      </c>
      <c r="Q6" s="11">
        <v>1220</v>
      </c>
      <c r="R6" t="s">
        <v>649</v>
      </c>
      <c r="S6" s="9" t="str">
        <f>HYPERLINK(Table1[[#This Row],[Attachment-1]])</f>
        <v xml:space="preserve">Rebate_attachments\88002035_20240612181602_2024- Q1 Rebate Payment Cardinal .xlsx </v>
      </c>
      <c r="T6" t="s">
        <v>650</v>
      </c>
      <c r="U6" s="9" t="str">
        <f>HYPERLINK(Table1[[#This Row],[Attachment-2]])</f>
        <v>Rebate_attachments\88002035_20240612181602_2024- Q1- Savings Breakdown by location for Montefiore by quarter.xlsx</v>
      </c>
      <c r="W6" t="str">
        <f>HYPERLINK(Table1[[#This Row],[Attachment-3]])</f>
        <v/>
      </c>
    </row>
    <row r="7" spans="1:38" x14ac:dyDescent="0.25">
      <c r="A7">
        <v>88002036</v>
      </c>
      <c r="B7" t="s">
        <v>249</v>
      </c>
      <c r="C7" t="s">
        <v>68</v>
      </c>
      <c r="D7" t="s">
        <v>136</v>
      </c>
      <c r="E7" t="s">
        <v>249</v>
      </c>
      <c r="F7" t="s">
        <v>651</v>
      </c>
      <c r="G7" t="s">
        <v>652</v>
      </c>
      <c r="H7" s="1">
        <v>44927</v>
      </c>
      <c r="I7" s="11">
        <v>299391</v>
      </c>
      <c r="J7" s="11">
        <v>184231</v>
      </c>
      <c r="K7" s="11">
        <v>2395</v>
      </c>
      <c r="L7" s="11">
        <v>11410</v>
      </c>
      <c r="M7" s="11">
        <v>13228</v>
      </c>
      <c r="N7" s="11">
        <v>60142</v>
      </c>
      <c r="O7" s="11">
        <v>27249</v>
      </c>
      <c r="P7" s="11">
        <v>736</v>
      </c>
      <c r="Q7" s="11">
        <v>0</v>
      </c>
      <c r="R7" t="s">
        <v>653</v>
      </c>
      <c r="S7" s="9" t="str">
        <f>HYPERLINK(Table1[[#This Row],[Attachment-1]])</f>
        <v>Rebate_attachments\88002036_20240617171800_C25824-5 Montefiore Annual Perform Rebate 1.1 to 12.31.23 Summary History Final for Customer.xlsx</v>
      </c>
      <c r="U7" s="9" t="str">
        <f>HYPERLINK(Table1[[#This Row],[Attachment-2]])</f>
        <v/>
      </c>
      <c r="W7" t="str">
        <f>HYPERLINK(Table1[[#This Row],[Attachment-3]])</f>
        <v/>
      </c>
    </row>
    <row r="8" spans="1:38" x14ac:dyDescent="0.25">
      <c r="A8">
        <v>88002041</v>
      </c>
      <c r="B8" t="s">
        <v>421</v>
      </c>
      <c r="C8" t="s">
        <v>68</v>
      </c>
      <c r="D8" t="s">
        <v>58</v>
      </c>
      <c r="E8" t="s">
        <v>654</v>
      </c>
      <c r="F8" t="s">
        <v>655</v>
      </c>
      <c r="G8" t="s">
        <v>656</v>
      </c>
      <c r="H8" s="1">
        <v>45231</v>
      </c>
      <c r="I8" s="11">
        <v>57000</v>
      </c>
      <c r="J8" s="11">
        <v>57000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t="s">
        <v>657</v>
      </c>
      <c r="S8" s="9" t="str">
        <f>HYPERLINK(Table1[[#This Row],[Attachment-1]])</f>
        <v xml:space="preserve">Rebate_attachments\88002041_20240620114123_Abbott TAVR Valve Credit Memo Nov2023-Jan2024 Rebate BACK-UP.pdf </v>
      </c>
      <c r="T8" t="s">
        <v>658</v>
      </c>
      <c r="U8" s="9" t="str">
        <f>HYPERLINK(Table1[[#This Row],[Attachment-2]])</f>
        <v>Rebate_attachments\88002041_20240620114123_Abbott TAVR Valve Credit Memo Nov2023-Jan2024.pdf</v>
      </c>
      <c r="W8" t="str">
        <f>HYPERLINK(Table1[[#This Row],[Attachment-3]])</f>
        <v/>
      </c>
    </row>
    <row r="9" spans="1:38" x14ac:dyDescent="0.25">
      <c r="A9">
        <v>88002042</v>
      </c>
      <c r="B9" t="s">
        <v>421</v>
      </c>
      <c r="C9" t="s">
        <v>68</v>
      </c>
      <c r="D9" t="s">
        <v>58</v>
      </c>
      <c r="E9" t="s">
        <v>654</v>
      </c>
      <c r="F9" t="s">
        <v>659</v>
      </c>
      <c r="G9" t="s">
        <v>660</v>
      </c>
      <c r="H9" s="1">
        <v>45323</v>
      </c>
      <c r="I9" s="11">
        <v>123500</v>
      </c>
      <c r="J9" s="11">
        <v>123500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t="s">
        <v>661</v>
      </c>
      <c r="S9" s="9" t="str">
        <f>HYPERLINK(Table1[[#This Row],[Attachment-1]])</f>
        <v xml:space="preserve">Rebate_attachments\88002042_20240620140339_Abbott TAVR Valve Credit Memo Feb2024-April2024 Rebate BACK-UP.pdf </v>
      </c>
      <c r="T9" t="s">
        <v>662</v>
      </c>
      <c r="U9" s="9" t="str">
        <f>HYPERLINK(Table1[[#This Row],[Attachment-2]])</f>
        <v>Rebate_attachments\88002042_20240620140339_Abbott TAVR Valve Credit Memo Feb2024-April2024.pdf</v>
      </c>
      <c r="W9" t="str">
        <f>HYPERLINK(Table1[[#This Row],[Attachment-3]])</f>
        <v/>
      </c>
    </row>
    <row r="10" spans="1:38" x14ac:dyDescent="0.25">
      <c r="H10" s="1"/>
      <c r="I10" s="11"/>
      <c r="J10" s="11"/>
      <c r="K10" s="11"/>
      <c r="L10" s="11"/>
      <c r="M10" s="11"/>
      <c r="N10" s="11"/>
      <c r="O10" s="11"/>
      <c r="P10" s="11"/>
      <c r="Q10" s="11"/>
      <c r="R10" s="10"/>
      <c r="S10" s="9" t="str">
        <f>HYPERLINK(Table1[[#This Row],[Attachment-1]])</f>
        <v/>
      </c>
      <c r="T10" s="10"/>
      <c r="U10" s="9" t="str">
        <f>HYPERLINK(Table1[[#This Row],[Attachment-2]])</f>
        <v/>
      </c>
      <c r="V10" s="10"/>
      <c r="W10" t="str">
        <f>HYPERLINK(Table1[[#This Row],[Attachment-3]])</f>
        <v/>
      </c>
      <c r="X10" s="10"/>
      <c r="AB10" s="1"/>
      <c r="AC10" s="1"/>
      <c r="AD10" s="10"/>
      <c r="AE10" s="10"/>
      <c r="AF10" s="10"/>
      <c r="AG10" s="10"/>
      <c r="AH10" s="10"/>
      <c r="AI10" s="10"/>
      <c r="AK10" s="10"/>
      <c r="AL10" s="10"/>
    </row>
    <row r="11" spans="1:38" x14ac:dyDescent="0.25">
      <c r="O11" s="10"/>
      <c r="P11" s="10"/>
      <c r="Q11" s="10"/>
      <c r="R11" s="10"/>
      <c r="S11" s="10"/>
      <c r="T11" s="10"/>
      <c r="U11" s="10"/>
      <c r="V11" s="10"/>
      <c r="W11" s="10"/>
      <c r="X11" s="10"/>
      <c r="AB11" s="1"/>
      <c r="AC11" s="1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x14ac:dyDescent="0.25">
      <c r="O12" s="10"/>
      <c r="P12" s="10"/>
      <c r="Q12" s="10"/>
      <c r="R12" s="10"/>
      <c r="S12" s="10"/>
      <c r="T12" s="10"/>
      <c r="U12" s="10"/>
      <c r="V12" s="10"/>
      <c r="W12" s="10"/>
      <c r="X12" s="10"/>
      <c r="AB12" s="1"/>
      <c r="AC12" s="1"/>
      <c r="AD12" s="10"/>
      <c r="AE12" s="10"/>
      <c r="AF12" s="10"/>
      <c r="AG12" s="10"/>
      <c r="AH12" s="10"/>
      <c r="AI12" s="10"/>
      <c r="AJ12" s="10"/>
      <c r="AK12" s="10"/>
      <c r="AL12" s="10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5"/>
  <sheetViews>
    <sheetView topLeftCell="M1" zoomScale="90" zoomScaleNormal="90" workbookViewId="0">
      <selection activeCell="Q42" sqref="Q42"/>
    </sheetView>
  </sheetViews>
  <sheetFormatPr defaultRowHeight="15" x14ac:dyDescent="0.25"/>
  <cols>
    <col min="1" max="1" width="13.42578125" customWidth="1"/>
    <col min="2" max="2" width="31.42578125" bestFit="1" customWidth="1"/>
    <col min="3" max="3" width="26" bestFit="1" customWidth="1"/>
    <col min="4" max="4" width="18.5703125" customWidth="1"/>
    <col min="5" max="5" width="44.5703125" bestFit="1" customWidth="1"/>
    <col min="6" max="6" width="13.28515625" style="1" bestFit="1" customWidth="1"/>
    <col min="7" max="7" width="17" style="2" customWidth="1"/>
    <col min="8" max="8" width="16.28515625" style="2" customWidth="1"/>
    <col min="9" max="9" width="17.28515625" style="2" customWidth="1"/>
    <col min="10" max="10" width="16.85546875" style="2" customWidth="1"/>
    <col min="11" max="11" width="17.7109375" style="2" customWidth="1"/>
    <col min="12" max="12" width="16" style="2" customWidth="1"/>
    <col min="13" max="13" width="16.7109375" style="2" customWidth="1"/>
    <col min="14" max="14" width="17.7109375" style="2" customWidth="1"/>
    <col min="15" max="15" width="18.28515625" style="2" customWidth="1"/>
    <col min="16" max="17" width="140" style="2" bestFit="1" customWidth="1"/>
    <col min="18" max="18" width="34.140625" hidden="1" customWidth="1"/>
    <col min="19" max="19" width="142.85546875" bestFit="1" customWidth="1"/>
    <col min="20" max="20" width="69.28515625" hidden="1" customWidth="1"/>
    <col min="21" max="21" width="89.5703125" bestFit="1" customWidth="1"/>
    <col min="22" max="22" width="18" hidden="1" customWidth="1"/>
    <col min="23" max="23" width="81.85546875" bestFit="1" customWidth="1"/>
    <col min="24" max="24" width="31" hidden="1" customWidth="1"/>
    <col min="25" max="25" width="106" bestFit="1" customWidth="1"/>
  </cols>
  <sheetData>
    <row r="1" spans="1:25" x14ac:dyDescent="0.25">
      <c r="A1" t="s">
        <v>663</v>
      </c>
      <c r="B1" t="s">
        <v>664</v>
      </c>
      <c r="C1" t="s">
        <v>665</v>
      </c>
      <c r="D1" t="s">
        <v>666</v>
      </c>
      <c r="E1" t="s">
        <v>667</v>
      </c>
      <c r="F1" s="1" t="s">
        <v>48</v>
      </c>
      <c r="G1" s="5" t="s">
        <v>668</v>
      </c>
      <c r="H1" s="6" t="s">
        <v>669</v>
      </c>
      <c r="I1" s="6" t="s">
        <v>670</v>
      </c>
      <c r="J1" s="6" t="s">
        <v>671</v>
      </c>
      <c r="K1" s="6" t="s">
        <v>672</v>
      </c>
      <c r="L1" s="6" t="s">
        <v>673</v>
      </c>
      <c r="M1" s="6" t="s">
        <v>674</v>
      </c>
      <c r="N1" s="6" t="s">
        <v>675</v>
      </c>
      <c r="O1" s="6" t="s">
        <v>676</v>
      </c>
      <c r="P1" s="7" t="s">
        <v>677</v>
      </c>
      <c r="Q1" t="s">
        <v>627</v>
      </c>
      <c r="R1" t="s">
        <v>678</v>
      </c>
      <c r="S1" t="s">
        <v>629</v>
      </c>
      <c r="T1" t="s">
        <v>679</v>
      </c>
      <c r="U1" t="s">
        <v>631</v>
      </c>
      <c r="V1" t="s">
        <v>680</v>
      </c>
      <c r="W1" t="s">
        <v>681</v>
      </c>
      <c r="X1" t="s">
        <v>682</v>
      </c>
      <c r="Y1" t="s">
        <v>683</v>
      </c>
    </row>
    <row r="2" spans="1:25" x14ac:dyDescent="0.25">
      <c r="A2">
        <v>88000002</v>
      </c>
      <c r="B2" t="s">
        <v>58</v>
      </c>
      <c r="C2" t="s">
        <v>59</v>
      </c>
      <c r="D2" t="s">
        <v>60</v>
      </c>
      <c r="E2" t="s">
        <v>67</v>
      </c>
      <c r="F2" s="1">
        <v>45449.472071759257</v>
      </c>
      <c r="G2" s="2">
        <v>5700</v>
      </c>
      <c r="H2" s="2">
        <v>5700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 t="s">
        <v>684</v>
      </c>
      <c r="Q2" s="8" t="str">
        <f>HYPERLINK(Table4[[#This Row],[File1]])</f>
        <v>Rebate_attachments\88000002_20240202171551_Edwards Pascal Rebate Credit Q4-2023.pdf</v>
      </c>
      <c r="R2" t="s">
        <v>685</v>
      </c>
      <c r="S2" s="9" t="str">
        <f>HYPERLINK(Table4[[#This Row],[1]])</f>
        <v>Rebate_attachments\88000002_20240604153850_Edwards Pascal Rebate Credit Q4-2023 rev.pdf</v>
      </c>
      <c r="U2" s="9" t="str">
        <f>HYPERLINK(Table4[[#This Row],[2]])</f>
        <v/>
      </c>
      <c r="W2" s="9" t="str">
        <f>HYPERLINK(Table4[[#This Row],[4]])</f>
        <v/>
      </c>
      <c r="Y2" s="9" t="str">
        <f>HYPERLINK(Table4[[#This Row],[5]])</f>
        <v/>
      </c>
    </row>
    <row r="3" spans="1:25" x14ac:dyDescent="0.25">
      <c r="A3">
        <v>88001003</v>
      </c>
      <c r="B3" t="s">
        <v>58</v>
      </c>
      <c r="C3" t="s">
        <v>70</v>
      </c>
      <c r="D3" t="s">
        <v>71</v>
      </c>
      <c r="E3" t="s">
        <v>67</v>
      </c>
      <c r="F3" s="1">
        <v>45350.382800925923</v>
      </c>
      <c r="G3" s="2">
        <v>268000</v>
      </c>
      <c r="H3" s="2">
        <v>268000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">
        <v>686</v>
      </c>
      <c r="Q3" s="8" t="str">
        <f>HYPERLINK(Table4[[#This Row],[File1]])</f>
        <v>Rebate_attachments\88001003_20240220154352_Edwards TAVR REbate OCT2023-DEC2023 Q4-2023.pdf</v>
      </c>
      <c r="S3" s="9" t="str">
        <f>HYPERLINK(Table4[[#This Row],[1]])</f>
        <v/>
      </c>
      <c r="U3" s="9" t="str">
        <f>HYPERLINK(Table4[[#This Row],[2]])</f>
        <v/>
      </c>
      <c r="W3" s="9" t="str">
        <f>HYPERLINK(Table4[[#This Row],[4]])</f>
        <v/>
      </c>
      <c r="Y3" s="9" t="str">
        <f>HYPERLINK(Table4[[#This Row],[5]])</f>
        <v/>
      </c>
    </row>
    <row r="4" spans="1:25" x14ac:dyDescent="0.25">
      <c r="A4">
        <v>88001005</v>
      </c>
      <c r="B4" t="s">
        <v>73</v>
      </c>
      <c r="C4" t="s">
        <v>74</v>
      </c>
      <c r="D4" t="s">
        <v>75</v>
      </c>
      <c r="E4" t="s">
        <v>77</v>
      </c>
      <c r="F4" s="1">
        <v>45350.382314814808</v>
      </c>
      <c r="G4" s="2">
        <v>49009</v>
      </c>
      <c r="H4" s="2">
        <v>49009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 t="s">
        <v>687</v>
      </c>
      <c r="Q4" s="8" t="str">
        <f>HYPERLINK(Table4[[#This Row],[File1]])</f>
        <v>Rebate_attachments\88001005_20240227164725_Copy of 9.1.23 to 11.30.23 ACH Payments Processed Susccessfully - Montefiore.xlsx</v>
      </c>
      <c r="R4" t="s">
        <v>688</v>
      </c>
      <c r="S4" s="9" t="str">
        <f>HYPERLINK(Table4[[#This Row],[1]])</f>
        <v>Rebate_attachments\88001005_20240227164725_Forecasting Your Paymode-X Connect or Comprehensive Payables Dividends _ Premium ACH Rebate_2023.pdf</v>
      </c>
      <c r="T4" t="s">
        <v>689</v>
      </c>
      <c r="U4" s="9" t="str">
        <f>HYPERLINK(Table4[[#This Row],[2]])</f>
        <v>Rebate_attachments\88001005_20240227164725_Montefiore Health System Inc Schedules I,II, III.pdf</v>
      </c>
      <c r="V4" t="s">
        <v>690</v>
      </c>
      <c r="W4" s="9" t="str">
        <f>HYPERLINK(Table4[[#This Row],[4]])</f>
        <v>Rebate_attachments\88001005_20240227164725_Montefiore Signed Paymode Schedule.pdf</v>
      </c>
      <c r="X4" t="s">
        <v>691</v>
      </c>
      <c r="Y4" s="9" t="str">
        <f>HYPERLINK(Table4[[#This Row],[5]])</f>
        <v>Rebate_attachments\88001005_20240227164725_RE  Rebate Paymode Calculation Period 09-01-2023 - 11-30-2023.msg</v>
      </c>
    </row>
    <row r="5" spans="1:25" x14ac:dyDescent="0.25">
      <c r="A5">
        <v>88001009</v>
      </c>
      <c r="B5" t="s">
        <v>80</v>
      </c>
      <c r="C5" t="s">
        <v>81</v>
      </c>
      <c r="D5" t="s">
        <v>82</v>
      </c>
      <c r="E5" t="s">
        <v>83</v>
      </c>
      <c r="F5" s="1">
        <v>45350.708043981482</v>
      </c>
      <c r="G5" s="2">
        <v>5815</v>
      </c>
      <c r="H5" s="2">
        <v>5815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 t="s">
        <v>692</v>
      </c>
      <c r="Q5" s="8" t="str">
        <f>HYPERLINK(Table4[[#This Row],[File1]])</f>
        <v>Rebate_attachments\88001009_20240228160745_Montefiore Health System_IDN_MONTEFIO_MCS Agreement_27Oct2021_FE.pdf</v>
      </c>
      <c r="R5" t="s">
        <v>693</v>
      </c>
      <c r="S5" s="9" t="str">
        <f>HYPERLINK(Table4[[#This Row],[1]])</f>
        <v>Rebate_attachments\88001009_20240228160745_Q423_106524US_Growth Rebate Pump8.pdf</v>
      </c>
      <c r="U5" s="9" t="str">
        <f>HYPERLINK(Table4[[#This Row],[2]])</f>
        <v/>
      </c>
      <c r="W5" s="9" t="str">
        <f>HYPERLINK(Table4[[#This Row],[4]])</f>
        <v/>
      </c>
      <c r="Y5" s="9" t="str">
        <f>HYPERLINK(Table4[[#This Row],[5]])</f>
        <v/>
      </c>
    </row>
    <row r="6" spans="1:25" x14ac:dyDescent="0.25">
      <c r="A6">
        <v>88001012</v>
      </c>
      <c r="B6" t="s">
        <v>58</v>
      </c>
      <c r="C6" t="s">
        <v>85</v>
      </c>
      <c r="D6" t="s">
        <v>86</v>
      </c>
      <c r="E6" t="s">
        <v>87</v>
      </c>
      <c r="F6" s="1">
        <v>45386.619456018518</v>
      </c>
      <c r="G6" s="2">
        <v>34234</v>
      </c>
      <c r="H6" s="2">
        <v>15683</v>
      </c>
      <c r="I6" s="2">
        <v>0</v>
      </c>
      <c r="J6" s="2">
        <v>0</v>
      </c>
      <c r="K6" s="2">
        <v>4752</v>
      </c>
      <c r="L6" s="2">
        <v>12852</v>
      </c>
      <c r="M6" s="2">
        <v>1037</v>
      </c>
      <c r="N6" s="2">
        <v>0</v>
      </c>
      <c r="O6" s="2">
        <v>0</v>
      </c>
      <c r="P6" s="2" t="s">
        <v>694</v>
      </c>
      <c r="Q6" s="8" t="str">
        <f>HYPERLINK(Table4[[#This Row],[File1]])</f>
        <v>Rebate_attachments\88001012_20240306173038_Medtronic CRM Rebates 7-29-2023 to 10-27-2023.pdf</v>
      </c>
      <c r="S6" s="9" t="str">
        <f>HYPERLINK(Table4[[#This Row],[1]])</f>
        <v/>
      </c>
      <c r="U6" s="9" t="str">
        <f>HYPERLINK(Table4[[#This Row],[2]])</f>
        <v/>
      </c>
      <c r="W6" s="9" t="str">
        <f>HYPERLINK(Table4[[#This Row],[4]])</f>
        <v/>
      </c>
      <c r="Y6" s="9" t="str">
        <f>HYPERLINK(Table4[[#This Row],[5]])</f>
        <v/>
      </c>
    </row>
    <row r="7" spans="1:25" x14ac:dyDescent="0.25">
      <c r="A7">
        <v>88001013</v>
      </c>
      <c r="B7" t="s">
        <v>88</v>
      </c>
      <c r="C7" t="s">
        <v>89</v>
      </c>
      <c r="D7" t="s">
        <v>90</v>
      </c>
      <c r="E7" t="s">
        <v>91</v>
      </c>
      <c r="F7" s="1">
        <v>45386.618935185194</v>
      </c>
      <c r="G7" s="2">
        <v>373612</v>
      </c>
      <c r="H7" s="2">
        <v>201097</v>
      </c>
      <c r="I7" s="2">
        <v>4531</v>
      </c>
      <c r="J7" s="2">
        <v>15221</v>
      </c>
      <c r="K7" s="2">
        <v>21511</v>
      </c>
      <c r="L7" s="2">
        <v>111899</v>
      </c>
      <c r="M7" s="2">
        <v>16295</v>
      </c>
      <c r="N7" s="2">
        <v>3058</v>
      </c>
      <c r="O7" s="2">
        <v>0</v>
      </c>
      <c r="P7" s="2" t="s">
        <v>695</v>
      </c>
      <c r="Q7" s="8" t="str">
        <f>HYPERLINK(Table4[[#This Row],[File1]])</f>
        <v>Rebate_attachments\88001013_20240312095604_Medline Q4-2023 Rebate EFT Confirmation 3-7-2024.pdf</v>
      </c>
      <c r="R7" t="s">
        <v>696</v>
      </c>
      <c r="S7" s="9" t="str">
        <f>HYPERLINK(Table4[[#This Row],[1]])</f>
        <v>Rebate_attachments\88001013_20240312095604_Medline Rebate Q4-2023 Detail.xlsx</v>
      </c>
      <c r="U7" s="9" t="str">
        <f>HYPERLINK(Table4[[#This Row],[2]])</f>
        <v/>
      </c>
      <c r="W7" s="9" t="str">
        <f>HYPERLINK(Table4[[#This Row],[4]])</f>
        <v/>
      </c>
      <c r="Y7" s="9" t="str">
        <f>HYPERLINK(Table4[[#This Row],[5]])</f>
        <v/>
      </c>
    </row>
    <row r="8" spans="1:25" x14ac:dyDescent="0.25">
      <c r="A8">
        <v>88001014</v>
      </c>
      <c r="B8" t="s">
        <v>58</v>
      </c>
      <c r="C8" t="s">
        <v>92</v>
      </c>
      <c r="D8" t="s">
        <v>93</v>
      </c>
      <c r="E8" t="s">
        <v>94</v>
      </c>
      <c r="F8" s="1">
        <v>45386.618437500001</v>
      </c>
      <c r="G8" s="2">
        <v>37500</v>
      </c>
      <c r="H8" s="2">
        <v>37500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 t="s">
        <v>697</v>
      </c>
      <c r="Q8" s="8" t="str">
        <f>HYPERLINK(Table4[[#This Row],[File1]])</f>
        <v>Rebate_attachments\88001014_20240321160620_Medtronic 10-26-2023 Bulk Summary.xlsx</v>
      </c>
      <c r="R8" t="s">
        <v>698</v>
      </c>
      <c r="S8" s="9" t="str">
        <f>HYPERLINK(Table4[[#This Row],[1]])</f>
        <v>Rebate_attachments\88001014_20240321160620_Medtronic TAVR Rebate from 10-26-2023 Bulk PO.pdf</v>
      </c>
      <c r="U8" s="9" t="str">
        <f>HYPERLINK(Table4[[#This Row],[2]])</f>
        <v/>
      </c>
      <c r="W8" s="9" t="str">
        <f>HYPERLINK(Table4[[#This Row],[4]])</f>
        <v/>
      </c>
      <c r="Y8" s="9" t="str">
        <f>HYPERLINK(Table4[[#This Row],[5]])</f>
        <v/>
      </c>
    </row>
    <row r="9" spans="1:25" x14ac:dyDescent="0.25">
      <c r="A9">
        <v>88002016</v>
      </c>
      <c r="B9" t="s">
        <v>58</v>
      </c>
      <c r="C9" t="s">
        <v>95</v>
      </c>
      <c r="D9" t="s">
        <v>96</v>
      </c>
      <c r="E9" t="s">
        <v>97</v>
      </c>
      <c r="F9" s="1">
        <v>45404.355868055558</v>
      </c>
      <c r="G9" s="2">
        <v>30000</v>
      </c>
      <c r="H9" s="2">
        <v>30000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699</v>
      </c>
      <c r="Q9" s="8" t="str">
        <f>HYPERLINK(Table4[[#This Row],[File1]])</f>
        <v>Rebate_attachments\88002016_20240409103728_Medtronic TAVR Rebate July2023 to Sept2023.pdf</v>
      </c>
      <c r="S9" s="9" t="str">
        <f>HYPERLINK(Table4[[#This Row],[1]])</f>
        <v/>
      </c>
      <c r="U9" s="9" t="str">
        <f>HYPERLINK(Table4[[#This Row],[2]])</f>
        <v/>
      </c>
      <c r="W9" s="9" t="str">
        <f>HYPERLINK(Table4[[#This Row],[4]])</f>
        <v/>
      </c>
      <c r="Y9" s="9" t="str">
        <f>HYPERLINK(Table4[[#This Row],[5]])</f>
        <v/>
      </c>
    </row>
    <row r="10" spans="1:25" x14ac:dyDescent="0.25">
      <c r="A10">
        <v>88002020</v>
      </c>
      <c r="B10" t="s">
        <v>73</v>
      </c>
      <c r="C10" t="s">
        <v>99</v>
      </c>
      <c r="D10" t="s">
        <v>100</v>
      </c>
      <c r="E10" t="s">
        <v>101</v>
      </c>
      <c r="F10" s="1">
        <v>45413.716504629629</v>
      </c>
      <c r="G10" s="2">
        <v>58946</v>
      </c>
      <c r="H10" s="2">
        <v>58946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s">
        <v>700</v>
      </c>
      <c r="Q10" s="8" t="str">
        <f>HYPERLINK(Table4[[#This Row],[File1]])</f>
        <v>Rebate_attachments\88002020_20240501165727_Rebate_Template_USFood_41724.xlsx</v>
      </c>
      <c r="R10" t="s">
        <v>701</v>
      </c>
      <c r="S10" s="9" t="str">
        <f>HYPERLINK(Table4[[#This Row],[1]])</f>
        <v>Rebate_attachments\88002020_20240501165727_USFoodRebateChk_9472753.pdf</v>
      </c>
      <c r="U10" s="9" t="str">
        <f>HYPERLINK(Table4[[#This Row],[2]])</f>
        <v/>
      </c>
      <c r="W10" s="9" t="str">
        <f>HYPERLINK(Table4[[#This Row],[4]])</f>
        <v/>
      </c>
      <c r="Y10" s="9" t="str">
        <f>HYPERLINK(Table4[[#This Row],[5]])</f>
        <v/>
      </c>
    </row>
    <row r="11" spans="1:25" x14ac:dyDescent="0.25">
      <c r="A11">
        <v>88002021</v>
      </c>
      <c r="B11" t="s">
        <v>73</v>
      </c>
      <c r="C11" t="s">
        <v>99</v>
      </c>
      <c r="D11" t="s">
        <v>104</v>
      </c>
      <c r="E11" t="s">
        <v>101</v>
      </c>
      <c r="F11" s="1">
        <v>45419.383263888893</v>
      </c>
      <c r="G11" s="2">
        <v>63777</v>
      </c>
      <c r="H11" s="2">
        <v>63777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 t="s">
        <v>702</v>
      </c>
      <c r="Q11" s="8" t="str">
        <f>HYPERLINK(Table4[[#This Row],[File1]])</f>
        <v>Rebate_attachments\88002021_20240504143537_Rebate_Template_USFood32024.xlsx</v>
      </c>
      <c r="R11" t="s">
        <v>703</v>
      </c>
      <c r="S11" s="9" t="str">
        <f>HYPERLINK(Table4[[#This Row],[1]])</f>
        <v>Rebate_attachments\88002021_20240504143537_USFoodRebateChk_9469957.pdf</v>
      </c>
      <c r="U11" s="9" t="str">
        <f>HYPERLINK(Table4[[#This Row],[2]])</f>
        <v/>
      </c>
      <c r="W11" s="9" t="str">
        <f>HYPERLINK(Table4[[#This Row],[4]])</f>
        <v/>
      </c>
      <c r="Y11" s="9" t="str">
        <f>HYPERLINK(Table4[[#This Row],[5]])</f>
        <v/>
      </c>
    </row>
    <row r="12" spans="1:25" x14ac:dyDescent="0.25">
      <c r="A12">
        <v>88002022</v>
      </c>
      <c r="B12" t="s">
        <v>58</v>
      </c>
      <c r="C12" t="s">
        <v>105</v>
      </c>
      <c r="D12" t="s">
        <v>106</v>
      </c>
      <c r="E12" t="s">
        <v>108</v>
      </c>
      <c r="F12" s="1">
        <v>45420.475798611107</v>
      </c>
      <c r="G12" s="2">
        <v>53243</v>
      </c>
      <c r="H12" s="2">
        <v>46905</v>
      </c>
      <c r="I12" s="2">
        <v>0</v>
      </c>
      <c r="J12" s="2">
        <v>0</v>
      </c>
      <c r="K12" s="2">
        <v>2901</v>
      </c>
      <c r="L12" s="2">
        <v>3437</v>
      </c>
      <c r="M12" s="2">
        <v>0</v>
      </c>
      <c r="N12" s="2">
        <v>0</v>
      </c>
      <c r="O12" s="2">
        <v>0</v>
      </c>
      <c r="P12" s="2" t="s">
        <v>704</v>
      </c>
      <c r="Q12" s="8" t="str">
        <f>HYPERLINK(Table4[[#This Row],[File1]])</f>
        <v>Rebate_attachments\88002022_20240507094024_Biotronik CRM Rebate 1-1-2024 to 3-31-2024.pdf</v>
      </c>
      <c r="R12" t="s">
        <v>705</v>
      </c>
      <c r="S12" s="9" t="str">
        <f>HYPERLINK(Table4[[#This Row],[1]])</f>
        <v>Rebate_attachments\88002022_20240508102402_Biotronik CRM Rebate 1-1-2024 to 3-31-2024.pdf</v>
      </c>
      <c r="U12" s="9" t="str">
        <f>HYPERLINK(Table4[[#This Row],[2]])</f>
        <v/>
      </c>
      <c r="W12" s="9" t="str">
        <f>HYPERLINK(Table4[[#This Row],[4]])</f>
        <v/>
      </c>
      <c r="Y12" s="9" t="str">
        <f>HYPERLINK(Table4[[#This Row],[5]])</f>
        <v/>
      </c>
    </row>
    <row r="13" spans="1:25" x14ac:dyDescent="0.25">
      <c r="A13">
        <v>88002023</v>
      </c>
      <c r="B13" t="s">
        <v>58</v>
      </c>
      <c r="C13" t="s">
        <v>109</v>
      </c>
      <c r="D13" t="s">
        <v>110</v>
      </c>
      <c r="E13" t="s">
        <v>94</v>
      </c>
      <c r="F13" s="1">
        <v>45447.434594907398</v>
      </c>
      <c r="G13" s="2">
        <v>128850</v>
      </c>
      <c r="H13" s="2">
        <v>82350</v>
      </c>
      <c r="I13" s="2">
        <v>0</v>
      </c>
      <c r="J13" s="2">
        <v>0</v>
      </c>
      <c r="K13" s="2">
        <v>6600</v>
      </c>
      <c r="L13" s="2">
        <v>19200</v>
      </c>
      <c r="M13" s="2">
        <v>20700</v>
      </c>
      <c r="N13" s="2">
        <v>0</v>
      </c>
      <c r="O13" s="2">
        <v>0</v>
      </c>
      <c r="P13" s="2" t="s">
        <v>706</v>
      </c>
      <c r="Q13" s="8" t="str">
        <f>HYPERLINK(Table4[[#This Row],[File1]])</f>
        <v>Rebate_attachments\88002023_20240508161427_Medtronic DES Rebate 10-1-2023 to 12-31-2023.pdf</v>
      </c>
      <c r="S13" s="9" t="str">
        <f>HYPERLINK(Table4[[#This Row],[1]])</f>
        <v/>
      </c>
      <c r="U13" s="9" t="str">
        <f>HYPERLINK(Table4[[#This Row],[2]])</f>
        <v/>
      </c>
      <c r="W13" s="9" t="str">
        <f>HYPERLINK(Table4[[#This Row],[4]])</f>
        <v/>
      </c>
      <c r="Y13" s="9" t="str">
        <f>HYPERLINK(Table4[[#This Row],[5]])</f>
        <v/>
      </c>
    </row>
    <row r="14" spans="1:25" x14ac:dyDescent="0.25">
      <c r="A14">
        <v>88002024</v>
      </c>
      <c r="B14" t="s">
        <v>58</v>
      </c>
      <c r="C14" t="s">
        <v>70</v>
      </c>
      <c r="D14" t="s">
        <v>111</v>
      </c>
      <c r="E14" t="s">
        <v>67</v>
      </c>
      <c r="F14" s="1">
        <v>45449.470439814817</v>
      </c>
      <c r="G14" s="2">
        <v>85000</v>
      </c>
      <c r="H14" s="2">
        <v>85000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707</v>
      </c>
      <c r="Q14" s="8" t="str">
        <f>HYPERLINK(Table4[[#This Row],[File1]])</f>
        <v>Rebate_attachments\88002024_20240516130149_Edwards TAVR Rebate JAN2024-MARCH2024 Q1-2024.pdf</v>
      </c>
      <c r="S14" s="9" t="str">
        <f>HYPERLINK(Table4[[#This Row],[1]])</f>
        <v/>
      </c>
      <c r="U14" s="9" t="str">
        <f>HYPERLINK(Table4[[#This Row],[2]])</f>
        <v/>
      </c>
      <c r="W14" s="9" t="str">
        <f>HYPERLINK(Table4[[#This Row],[4]])</f>
        <v/>
      </c>
      <c r="Y14" s="9" t="str">
        <f>HYPERLINK(Table4[[#This Row],[5]])</f>
        <v/>
      </c>
    </row>
    <row r="15" spans="1:25" x14ac:dyDescent="0.25">
      <c r="A15">
        <v>88002028</v>
      </c>
      <c r="B15" t="s">
        <v>58</v>
      </c>
      <c r="C15" t="s">
        <v>112</v>
      </c>
      <c r="D15" t="s">
        <v>113</v>
      </c>
      <c r="E15" t="s">
        <v>114</v>
      </c>
      <c r="F15" s="1">
        <v>45449.472384259258</v>
      </c>
      <c r="G15" s="2">
        <v>9500</v>
      </c>
      <c r="H15" s="2">
        <v>9500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">
        <v>708</v>
      </c>
      <c r="Q15" s="8" t="str">
        <f>HYPERLINK(Table4[[#This Row],[File1]])</f>
        <v>Rebate_attachments\88002028_20240604161728_Biosense Webster Ultrasound Catheter Buyback Rebate Q4-2023 (11-20-2023 to 12-31-2023 pro-rated).pdf</v>
      </c>
      <c r="S15" s="9" t="str">
        <f>HYPERLINK(Table4[[#This Row],[1]])</f>
        <v/>
      </c>
      <c r="U15" s="9" t="str">
        <f>HYPERLINK(Table4[[#This Row],[2]])</f>
        <v/>
      </c>
      <c r="W15" s="9" t="str">
        <f>HYPERLINK(Table4[[#This Row],[4]])</f>
        <v/>
      </c>
      <c r="Y15" s="9" t="str">
        <f>HYPERLINK(Table4[[#This Row],[5]])</f>
        <v/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topLeftCell="E1" workbookViewId="0">
      <selection activeCell="J27" sqref="J27"/>
    </sheetView>
  </sheetViews>
  <sheetFormatPr defaultRowHeight="15" x14ac:dyDescent="0.25"/>
  <cols>
    <col min="1" max="1" width="11.5703125" bestFit="1" customWidth="1"/>
    <col min="2" max="2" width="43" customWidth="1"/>
    <col min="3" max="3" width="22.28515625" customWidth="1"/>
    <col min="4" max="4" width="13.140625" bestFit="1" customWidth="1"/>
    <col min="5" max="5" width="12.42578125" style="1" bestFit="1" customWidth="1"/>
    <col min="6" max="6" width="10.42578125" bestFit="1" customWidth="1"/>
    <col min="7" max="7" width="14.42578125" bestFit="1" customWidth="1"/>
    <col min="8" max="8" width="25.28515625" bestFit="1" customWidth="1"/>
    <col min="9" max="9" width="40.42578125" bestFit="1" customWidth="1"/>
  </cols>
  <sheetData>
    <row r="1" spans="1:9" x14ac:dyDescent="0.25">
      <c r="A1" t="s">
        <v>709</v>
      </c>
      <c r="B1" t="s">
        <v>133</v>
      </c>
      <c r="C1" t="s">
        <v>710</v>
      </c>
      <c r="D1" t="s">
        <v>711</v>
      </c>
      <c r="E1" s="1" t="s">
        <v>712</v>
      </c>
      <c r="F1" t="s">
        <v>713</v>
      </c>
      <c r="G1" t="s">
        <v>714</v>
      </c>
      <c r="H1" t="s">
        <v>3</v>
      </c>
      <c r="I1" t="s">
        <v>53</v>
      </c>
    </row>
    <row r="2" spans="1:9" x14ac:dyDescent="0.25">
      <c r="A2">
        <v>88000002</v>
      </c>
      <c r="B2" t="s">
        <v>715</v>
      </c>
      <c r="C2" t="s">
        <v>716</v>
      </c>
      <c r="D2" t="s">
        <v>717</v>
      </c>
      <c r="E2" s="1">
        <v>45324.719340277778</v>
      </c>
      <c r="F2">
        <v>1</v>
      </c>
      <c r="G2">
        <v>0</v>
      </c>
      <c r="H2" t="s">
        <v>59</v>
      </c>
      <c r="I2" t="s">
        <v>67</v>
      </c>
    </row>
    <row r="3" spans="1:9" x14ac:dyDescent="0.25">
      <c r="A3">
        <v>88000002</v>
      </c>
      <c r="B3" t="s">
        <v>718</v>
      </c>
      <c r="C3" t="s">
        <v>716</v>
      </c>
      <c r="D3" t="s">
        <v>69</v>
      </c>
      <c r="E3" s="1">
        <v>45447.651967592603</v>
      </c>
      <c r="F3">
        <v>0</v>
      </c>
      <c r="G3">
        <v>0</v>
      </c>
      <c r="H3" t="s">
        <v>59</v>
      </c>
      <c r="I3" t="s">
        <v>67</v>
      </c>
    </row>
    <row r="4" spans="1:9" x14ac:dyDescent="0.25">
      <c r="A4">
        <v>88001014</v>
      </c>
      <c r="B4" t="s">
        <v>719</v>
      </c>
      <c r="C4" t="s">
        <v>716</v>
      </c>
      <c r="D4" t="s">
        <v>717</v>
      </c>
      <c r="E4" s="1">
        <v>45372.671064814807</v>
      </c>
      <c r="F4">
        <v>0</v>
      </c>
      <c r="G4">
        <v>0</v>
      </c>
      <c r="H4" t="s">
        <v>92</v>
      </c>
      <c r="I4" t="s">
        <v>94</v>
      </c>
    </row>
    <row r="5" spans="1:9" x14ac:dyDescent="0.25">
      <c r="A5">
        <v>88001014</v>
      </c>
      <c r="B5" t="s">
        <v>720</v>
      </c>
      <c r="C5" t="s">
        <v>716</v>
      </c>
      <c r="D5" t="s">
        <v>717</v>
      </c>
      <c r="E5" s="1">
        <v>45372.671064814807</v>
      </c>
      <c r="F5">
        <v>0</v>
      </c>
      <c r="G5">
        <v>0</v>
      </c>
      <c r="H5" t="s">
        <v>92</v>
      </c>
      <c r="I5" t="s">
        <v>94</v>
      </c>
    </row>
    <row r="6" spans="1:9" x14ac:dyDescent="0.25">
      <c r="A6">
        <v>88001013</v>
      </c>
      <c r="B6" t="s">
        <v>721</v>
      </c>
      <c r="C6" t="s">
        <v>716</v>
      </c>
      <c r="D6" t="s">
        <v>717</v>
      </c>
      <c r="E6" s="1">
        <v>45363.413935185177</v>
      </c>
      <c r="F6">
        <v>0</v>
      </c>
      <c r="G6">
        <v>0</v>
      </c>
      <c r="H6">
        <v>1000099</v>
      </c>
      <c r="I6" t="s">
        <v>91</v>
      </c>
    </row>
    <row r="7" spans="1:9" x14ac:dyDescent="0.25">
      <c r="A7">
        <v>88001013</v>
      </c>
      <c r="B7" t="s">
        <v>722</v>
      </c>
      <c r="C7" t="s">
        <v>716</v>
      </c>
      <c r="D7" t="s">
        <v>717</v>
      </c>
      <c r="E7" s="1">
        <v>45363.413935185177</v>
      </c>
      <c r="F7">
        <v>0</v>
      </c>
      <c r="G7">
        <v>0</v>
      </c>
      <c r="H7">
        <v>1000099</v>
      </c>
      <c r="I7" t="s">
        <v>91</v>
      </c>
    </row>
    <row r="8" spans="1:9" x14ac:dyDescent="0.25">
      <c r="A8">
        <v>88002023</v>
      </c>
      <c r="B8" t="s">
        <v>723</v>
      </c>
      <c r="C8" t="s">
        <v>716</v>
      </c>
      <c r="D8" t="s">
        <v>717</v>
      </c>
      <c r="E8" s="1">
        <v>45420.676701388889</v>
      </c>
      <c r="F8">
        <v>0</v>
      </c>
      <c r="G8">
        <v>0</v>
      </c>
      <c r="H8" t="s">
        <v>109</v>
      </c>
      <c r="I8" t="s">
        <v>94</v>
      </c>
    </row>
    <row r="9" spans="1:9" x14ac:dyDescent="0.25">
      <c r="A9">
        <v>88002020</v>
      </c>
      <c r="B9" t="s">
        <v>724</v>
      </c>
      <c r="C9" t="s">
        <v>716</v>
      </c>
      <c r="D9" t="s">
        <v>717</v>
      </c>
      <c r="E9" s="1">
        <v>45413.706562500003</v>
      </c>
      <c r="F9">
        <v>0</v>
      </c>
      <c r="G9">
        <v>0</v>
      </c>
      <c r="H9" t="s">
        <v>99</v>
      </c>
      <c r="I9" t="s">
        <v>101</v>
      </c>
    </row>
    <row r="10" spans="1:9" x14ac:dyDescent="0.25">
      <c r="A10">
        <v>88002020</v>
      </c>
      <c r="B10" t="s">
        <v>725</v>
      </c>
      <c r="C10" t="s">
        <v>716</v>
      </c>
      <c r="D10" t="s">
        <v>717</v>
      </c>
      <c r="E10" s="1">
        <v>45413.706562500003</v>
      </c>
      <c r="F10">
        <v>0</v>
      </c>
      <c r="G10">
        <v>0</v>
      </c>
      <c r="H10" t="s">
        <v>99</v>
      </c>
      <c r="I10" t="s">
        <v>101</v>
      </c>
    </row>
    <row r="11" spans="1:9" x14ac:dyDescent="0.25">
      <c r="A11">
        <v>88001012</v>
      </c>
      <c r="B11" t="s">
        <v>726</v>
      </c>
      <c r="C11" t="s">
        <v>716</v>
      </c>
      <c r="D11" t="s">
        <v>717</v>
      </c>
      <c r="E11" s="1">
        <v>45357.72960648148</v>
      </c>
      <c r="F11">
        <v>0</v>
      </c>
      <c r="G11">
        <v>0</v>
      </c>
      <c r="H11" t="s">
        <v>85</v>
      </c>
      <c r="I11" t="s">
        <v>87</v>
      </c>
    </row>
    <row r="12" spans="1:9" x14ac:dyDescent="0.25">
      <c r="A12">
        <v>88001005</v>
      </c>
      <c r="B12" t="s">
        <v>727</v>
      </c>
      <c r="C12" t="s">
        <v>716</v>
      </c>
      <c r="D12" t="s">
        <v>717</v>
      </c>
      <c r="E12" s="1">
        <v>45349.699594907397</v>
      </c>
      <c r="F12">
        <v>0</v>
      </c>
      <c r="G12">
        <v>0</v>
      </c>
      <c r="H12" t="s">
        <v>74</v>
      </c>
      <c r="I12" t="s">
        <v>77</v>
      </c>
    </row>
    <row r="13" spans="1:9" x14ac:dyDescent="0.25">
      <c r="A13">
        <v>88001005</v>
      </c>
      <c r="B13" t="s">
        <v>728</v>
      </c>
      <c r="C13" t="s">
        <v>716</v>
      </c>
      <c r="D13" t="s">
        <v>717</v>
      </c>
      <c r="E13" s="1">
        <v>45349.699594907397</v>
      </c>
      <c r="F13">
        <v>0</v>
      </c>
      <c r="G13">
        <v>0</v>
      </c>
      <c r="H13" t="s">
        <v>74</v>
      </c>
      <c r="I13" t="s">
        <v>77</v>
      </c>
    </row>
    <row r="14" spans="1:9" x14ac:dyDescent="0.25">
      <c r="A14">
        <v>88001005</v>
      </c>
      <c r="B14" t="s">
        <v>729</v>
      </c>
      <c r="C14" t="s">
        <v>716</v>
      </c>
      <c r="D14" t="s">
        <v>717</v>
      </c>
      <c r="E14" s="1">
        <v>45349.699594907397</v>
      </c>
      <c r="F14">
        <v>0</v>
      </c>
      <c r="G14">
        <v>0</v>
      </c>
      <c r="H14" t="s">
        <v>74</v>
      </c>
      <c r="I14" t="s">
        <v>77</v>
      </c>
    </row>
    <row r="15" spans="1:9" x14ac:dyDescent="0.25">
      <c r="A15">
        <v>88001005</v>
      </c>
      <c r="B15" t="s">
        <v>730</v>
      </c>
      <c r="C15" t="s">
        <v>716</v>
      </c>
      <c r="D15" t="s">
        <v>717</v>
      </c>
      <c r="E15" s="1">
        <v>45349.699594907397</v>
      </c>
      <c r="F15">
        <v>0</v>
      </c>
      <c r="G15">
        <v>0</v>
      </c>
      <c r="H15" t="s">
        <v>74</v>
      </c>
      <c r="I15" t="s">
        <v>77</v>
      </c>
    </row>
    <row r="16" spans="1:9" x14ac:dyDescent="0.25">
      <c r="A16">
        <v>88001005</v>
      </c>
      <c r="B16" t="s">
        <v>731</v>
      </c>
      <c r="C16" t="s">
        <v>716</v>
      </c>
      <c r="D16" t="s">
        <v>717</v>
      </c>
      <c r="E16" s="1">
        <v>45349.699594907397</v>
      </c>
      <c r="F16">
        <v>0</v>
      </c>
      <c r="G16">
        <v>0</v>
      </c>
      <c r="H16" t="s">
        <v>74</v>
      </c>
      <c r="I16" t="s">
        <v>77</v>
      </c>
    </row>
    <row r="17" spans="1:9" x14ac:dyDescent="0.25">
      <c r="A17">
        <v>88002024</v>
      </c>
      <c r="B17" t="s">
        <v>732</v>
      </c>
      <c r="C17" t="s">
        <v>716</v>
      </c>
      <c r="D17" t="s">
        <v>717</v>
      </c>
      <c r="E17" s="1">
        <v>45428.542951388888</v>
      </c>
      <c r="F17">
        <v>0</v>
      </c>
      <c r="G17">
        <v>0</v>
      </c>
      <c r="H17">
        <v>1000114</v>
      </c>
      <c r="I17" t="s">
        <v>67</v>
      </c>
    </row>
    <row r="18" spans="1:9" x14ac:dyDescent="0.25">
      <c r="A18">
        <v>88002021</v>
      </c>
      <c r="B18" t="s">
        <v>733</v>
      </c>
      <c r="C18" t="s">
        <v>716</v>
      </c>
      <c r="D18" t="s">
        <v>717</v>
      </c>
      <c r="E18" s="1">
        <v>45416.608067129629</v>
      </c>
      <c r="F18">
        <v>0</v>
      </c>
      <c r="G18">
        <v>0</v>
      </c>
      <c r="H18" t="s">
        <v>99</v>
      </c>
      <c r="I18" t="s">
        <v>101</v>
      </c>
    </row>
    <row r="19" spans="1:9" x14ac:dyDescent="0.25">
      <c r="A19">
        <v>88002021</v>
      </c>
      <c r="B19" t="s">
        <v>734</v>
      </c>
      <c r="C19" t="s">
        <v>716</v>
      </c>
      <c r="D19" t="s">
        <v>717</v>
      </c>
      <c r="E19" s="1">
        <v>45416.608067129629</v>
      </c>
      <c r="F19">
        <v>0</v>
      </c>
      <c r="G19">
        <v>0</v>
      </c>
      <c r="H19" t="s">
        <v>99</v>
      </c>
      <c r="I19" t="s">
        <v>101</v>
      </c>
    </row>
    <row r="20" spans="1:9" x14ac:dyDescent="0.25">
      <c r="A20">
        <v>88002028</v>
      </c>
      <c r="B20" t="s">
        <v>735</v>
      </c>
      <c r="C20" t="s">
        <v>716</v>
      </c>
      <c r="D20" t="s">
        <v>717</v>
      </c>
      <c r="E20" s="1">
        <v>45447.678796296299</v>
      </c>
      <c r="F20">
        <v>0</v>
      </c>
      <c r="G20">
        <v>0</v>
      </c>
      <c r="H20">
        <v>1000108</v>
      </c>
      <c r="I20" t="s">
        <v>114</v>
      </c>
    </row>
    <row r="21" spans="1:9" x14ac:dyDescent="0.25">
      <c r="A21">
        <v>88001003</v>
      </c>
      <c r="B21" t="s">
        <v>736</v>
      </c>
      <c r="C21" t="s">
        <v>716</v>
      </c>
      <c r="D21" t="s">
        <v>717</v>
      </c>
      <c r="E21" s="1">
        <v>45342.655462962961</v>
      </c>
      <c r="F21">
        <v>0</v>
      </c>
      <c r="G21">
        <v>0</v>
      </c>
      <c r="H21">
        <v>1000114</v>
      </c>
      <c r="I21" t="s">
        <v>67</v>
      </c>
    </row>
    <row r="22" spans="1:9" x14ac:dyDescent="0.25">
      <c r="A22">
        <v>88002016</v>
      </c>
      <c r="B22" t="s">
        <v>737</v>
      </c>
      <c r="C22" t="s">
        <v>716</v>
      </c>
      <c r="D22" t="s">
        <v>717</v>
      </c>
      <c r="E22" s="1">
        <v>45391.442685185182</v>
      </c>
      <c r="F22">
        <v>0</v>
      </c>
      <c r="G22">
        <v>0</v>
      </c>
      <c r="H22" t="s">
        <v>95</v>
      </c>
      <c r="I22" t="s">
        <v>97</v>
      </c>
    </row>
    <row r="23" spans="1:9" x14ac:dyDescent="0.25">
      <c r="A23">
        <v>88002022</v>
      </c>
      <c r="B23" t="s">
        <v>738</v>
      </c>
      <c r="C23" t="s">
        <v>716</v>
      </c>
      <c r="D23" t="s">
        <v>717</v>
      </c>
      <c r="E23" s="1">
        <v>45419.403055555558</v>
      </c>
      <c r="F23">
        <v>0</v>
      </c>
      <c r="G23">
        <v>0</v>
      </c>
      <c r="H23" t="s">
        <v>105</v>
      </c>
      <c r="I23" t="s">
        <v>108</v>
      </c>
    </row>
    <row r="24" spans="1:9" x14ac:dyDescent="0.25">
      <c r="A24">
        <v>88002022</v>
      </c>
      <c r="B24" t="s">
        <v>739</v>
      </c>
      <c r="C24" t="s">
        <v>716</v>
      </c>
      <c r="D24" t="s">
        <v>69</v>
      </c>
      <c r="E24" s="1">
        <v>45420.433356481481</v>
      </c>
      <c r="F24">
        <v>0</v>
      </c>
      <c r="G24">
        <v>0</v>
      </c>
      <c r="H24" t="s">
        <v>105</v>
      </c>
      <c r="I24" t="s">
        <v>108</v>
      </c>
    </row>
    <row r="25" spans="1:9" x14ac:dyDescent="0.25">
      <c r="A25">
        <v>88001009</v>
      </c>
      <c r="B25" t="s">
        <v>740</v>
      </c>
      <c r="C25" t="s">
        <v>716</v>
      </c>
      <c r="D25" t="s">
        <v>717</v>
      </c>
      <c r="E25" s="1">
        <v>45350.672060185178</v>
      </c>
      <c r="F25">
        <v>0</v>
      </c>
      <c r="G25">
        <v>0</v>
      </c>
      <c r="H25" t="s">
        <v>81</v>
      </c>
      <c r="I25" t="s">
        <v>83</v>
      </c>
    </row>
    <row r="26" spans="1:9" x14ac:dyDescent="0.25">
      <c r="A26">
        <v>88001009</v>
      </c>
      <c r="B26" t="s">
        <v>741</v>
      </c>
      <c r="C26" t="s">
        <v>716</v>
      </c>
      <c r="D26" t="s">
        <v>717</v>
      </c>
      <c r="E26" s="1">
        <v>45350.672060185178</v>
      </c>
      <c r="F26">
        <v>0</v>
      </c>
      <c r="G26">
        <v>0</v>
      </c>
      <c r="H26" t="s">
        <v>81</v>
      </c>
      <c r="I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Rebate Initiatives</vt:lpstr>
      <vt:lpstr>Rebate_09.16.24_raw</vt:lpstr>
      <vt:lpstr>Rebate_03.10.26</vt:lpstr>
      <vt:lpstr>Rebate_01.12.26</vt:lpstr>
      <vt:lpstr>Rebate_11.24.25</vt:lpstr>
      <vt:lpstr>Rebate_09.26.25</vt:lpstr>
      <vt:lpstr>Rebate_07.22.25</vt:lpstr>
      <vt:lpstr>Rebate_06.04.25</vt:lpstr>
      <vt:lpstr>Rebate_04.28.25</vt:lpstr>
      <vt:lpstr>Rebate_03.25.25</vt:lpstr>
      <vt:lpstr>Rebate_02.14.25</vt:lpstr>
      <vt:lpstr>Rebate_12.19.24</vt:lpstr>
      <vt:lpstr>Rebate_11.14.24</vt:lpstr>
      <vt:lpstr>Rebate_10.09.24</vt:lpstr>
      <vt:lpstr>Rebate_09.16.24</vt:lpstr>
      <vt:lpstr>Rebate_07.11.24</vt:lpstr>
      <vt:lpstr>Rebate_06.07.24</vt:lpstr>
      <vt:lpstr>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 Sudhakaran</dc:creator>
  <cp:lastModifiedBy>Wenzong Tong</cp:lastModifiedBy>
  <dcterms:created xsi:type="dcterms:W3CDTF">2024-06-17T17:31:59Z</dcterms:created>
  <dcterms:modified xsi:type="dcterms:W3CDTF">2026-04-07T17:45:55Z</dcterms:modified>
</cp:coreProperties>
</file>